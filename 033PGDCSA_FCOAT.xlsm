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240" yWindow="60" windowWidth="20055" windowHeight="7950" tabRatio="964"/>
  </bookViews>
  <sheets>
    <sheet name="Que. 1" sheetId="4" r:id="rId1"/>
    <sheet name="Que. 2" sheetId="1" r:id="rId2"/>
    <sheet name="Que. 3" sheetId="5" r:id="rId3"/>
    <sheet name="Que. 4" sheetId="6" r:id="rId4"/>
    <sheet name="Que. 5" sheetId="8" r:id="rId5"/>
    <sheet name="Que. 6" sheetId="9" r:id="rId6"/>
    <sheet name="Que. 7" sheetId="11" r:id="rId7"/>
    <sheet name="Que. 8" sheetId="12" r:id="rId8"/>
    <sheet name="Que. 9" sheetId="13" r:id="rId9"/>
    <sheet name="Que. 10" sheetId="14" r:id="rId10"/>
    <sheet name="Que. 11" sheetId="15" r:id="rId11"/>
    <sheet name="Que. 12" sheetId="25" r:id="rId12"/>
    <sheet name="Que. 13" sheetId="17" r:id="rId13"/>
    <sheet name="Que. 14" sheetId="18" r:id="rId14"/>
    <sheet name="Que. 15" sheetId="19" r:id="rId15"/>
    <sheet name="Que. 16" sheetId="21" r:id="rId16"/>
    <sheet name="Que. 17" sheetId="23" r:id="rId17"/>
    <sheet name="Que. 18" sheetId="24" r:id="rId18"/>
    <sheet name="Que. 19" sheetId="22" r:id="rId19"/>
    <sheet name="Que. 20" sheetId="26" r:id="rId20"/>
  </sheets>
  <externalReferences>
    <externalReference r:id="rId21"/>
  </externalReferences>
  <definedNames>
    <definedName name="_xlnm._FilterDatabase" localSheetId="12" hidden="1">'Que. 13'!$A$2:$F$136</definedName>
  </definedNames>
  <calcPr calcId="124519"/>
  <pivotCaches>
    <pivotCache cacheId="0" r:id="rId22"/>
    <pivotCache cacheId="1" r:id="rId23"/>
  </pivotCaches>
</workbook>
</file>

<file path=xl/calcChain.xml><?xml version="1.0" encoding="utf-8"?>
<calcChain xmlns="http://schemas.openxmlformats.org/spreadsheetml/2006/main">
  <c r="F14" i="9"/>
  <c r="E14"/>
  <c r="D14"/>
  <c r="C14"/>
  <c r="F13"/>
  <c r="E13"/>
  <c r="D13"/>
  <c r="C13"/>
  <c r="G12"/>
  <c r="G11"/>
  <c r="G10"/>
  <c r="G9"/>
  <c r="G8"/>
  <c r="G7"/>
  <c r="G6"/>
  <c r="G5"/>
  <c r="G4"/>
  <c r="G3"/>
  <c r="F5" i="23" l="1"/>
  <c r="F6" s="1"/>
  <c r="F7" s="1"/>
  <c r="F8" s="1"/>
  <c r="F9" s="1"/>
  <c r="G3"/>
  <c r="C8" i="24"/>
  <c r="F5" s="1"/>
  <c r="C9" i="22"/>
  <c r="C7"/>
  <c r="C8" s="1"/>
  <c r="C10" l="1"/>
  <c r="C11" s="1"/>
  <c r="E19" i="13" l="1"/>
  <c r="D19"/>
  <c r="C19"/>
  <c r="B19"/>
  <c r="E8"/>
  <c r="D8"/>
  <c r="C8"/>
  <c r="B8"/>
  <c r="E21" i="12"/>
  <c r="D21"/>
  <c r="C21"/>
  <c r="B21"/>
  <c r="E20"/>
  <c r="D20"/>
  <c r="C20"/>
  <c r="B20"/>
  <c r="E18"/>
  <c r="D18"/>
  <c r="C18"/>
  <c r="B18"/>
  <c r="E17"/>
  <c r="D17"/>
  <c r="C17"/>
  <c r="B17"/>
  <c r="B16"/>
  <c r="E15"/>
  <c r="D15"/>
  <c r="C15"/>
  <c r="B15"/>
  <c r="E14"/>
  <c r="D14"/>
  <c r="C14"/>
  <c r="B14"/>
  <c r="I4" i="11"/>
  <c r="I5"/>
  <c r="I6"/>
  <c r="I7"/>
  <c r="I8"/>
  <c r="I9"/>
  <c r="I10"/>
  <c r="I11"/>
  <c r="I12"/>
  <c r="I3"/>
  <c r="H4"/>
  <c r="H5"/>
  <c r="H6"/>
  <c r="H7"/>
  <c r="H8"/>
  <c r="H9"/>
  <c r="H10"/>
  <c r="H11"/>
  <c r="H12"/>
  <c r="H3"/>
  <c r="M4"/>
  <c r="M5"/>
  <c r="M6"/>
  <c r="M7"/>
  <c r="M8"/>
  <c r="M9"/>
  <c r="M10"/>
  <c r="M11"/>
  <c r="M12"/>
  <c r="M3"/>
  <c r="L4"/>
  <c r="L5"/>
  <c r="L6"/>
  <c r="L7"/>
  <c r="L8"/>
  <c r="L9"/>
  <c r="L10"/>
  <c r="L11"/>
  <c r="L12"/>
  <c r="L3"/>
  <c r="K4"/>
  <c r="K5"/>
  <c r="K6"/>
  <c r="K7"/>
  <c r="K8"/>
  <c r="K9"/>
  <c r="K10"/>
  <c r="K11"/>
  <c r="K12"/>
  <c r="K3"/>
  <c r="J4"/>
  <c r="J5"/>
  <c r="J6"/>
  <c r="J7"/>
  <c r="J8"/>
  <c r="J9"/>
  <c r="J10"/>
  <c r="J11"/>
  <c r="J12"/>
  <c r="J3"/>
</calcChain>
</file>

<file path=xl/comments1.xml><?xml version="1.0" encoding="utf-8"?>
<comments xmlns="http://schemas.openxmlformats.org/spreadsheetml/2006/main">
  <authors>
    <author>User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This the Apple iPhone 14 Products and the price of this phone $ 700.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This is Nice phone But Price is Very High.</t>
        </r>
      </text>
    </comment>
  </commentList>
</comments>
</file>

<file path=xl/sharedStrings.xml><?xml version="1.0" encoding="utf-8"?>
<sst xmlns="http://schemas.openxmlformats.org/spreadsheetml/2006/main" count="1131" uniqueCount="546">
  <si>
    <t xml:space="preserve">Sr. No </t>
  </si>
  <si>
    <t xml:space="preserve">Book Name </t>
  </si>
  <si>
    <t>Publishing Date</t>
  </si>
  <si>
    <t>PHARMACOGNOSY/</t>
  </si>
  <si>
    <t>A TEXTBOOK OF SOCIAL PHARMACY/</t>
  </si>
  <si>
    <t>20/5/2024</t>
  </si>
  <si>
    <t>A TEXTBOOK OF HUMAN ANATOMY AND PHYSILOGY/</t>
  </si>
  <si>
    <t>A TEXTBOOK OF PHARMACOGNOCY/</t>
  </si>
  <si>
    <t>A TEXTBOOK OF EXPERIMENTAL BIOPHARMACEUTICS AND PHARMACOKINETICS/</t>
  </si>
  <si>
    <t>DIPLOMA IN PHARMACY EXIT EXAMINATION/</t>
  </si>
  <si>
    <t>A TEXT BOOK OF PHARMACY LAW AND ETHICS/</t>
  </si>
  <si>
    <t>PLANT BIOSYNTHESIS/</t>
  </si>
  <si>
    <t>A TEXTBOOK OF HOSPITAL AND CLINICAL PHARMACY/</t>
  </si>
  <si>
    <t>A TEXTBOOK OF PHARMACOTHERAPEUTICS/</t>
  </si>
  <si>
    <t>A TEXTBOOK OF BIOCHEMISTRY AND CLINICAL PATHOLOGY/</t>
  </si>
  <si>
    <t>A TEXTBOOK OF COMMUNITY PHARMACY AND MANAGEMENT/</t>
  </si>
  <si>
    <t>A TEXTBOOK OF PHARMACOLOGY/</t>
  </si>
  <si>
    <t>A TEXTBOOK OF PHARMACEUTICAL CHEMISTRY /</t>
  </si>
  <si>
    <t>PHARMACEUTICAL MICROBIOLOGY : PRINCIPLES AND APPLICATIONS/</t>
  </si>
  <si>
    <r>
      <t>Que. 1</t>
    </r>
    <r>
      <rPr>
        <sz val="12"/>
        <color indexed="8"/>
        <rFont val="Cambria"/>
        <family val="1"/>
      </rPr>
      <t xml:space="preserve"> Enter and edit different types of data (text, numbers, dates) into a spreadsheet. Then, erase specific entries and resize rows and columns accordingly.</t>
    </r>
  </si>
  <si>
    <t>Students Name</t>
  </si>
  <si>
    <t>Contact No</t>
  </si>
  <si>
    <t>Gender</t>
  </si>
  <si>
    <t>Date of Birth</t>
  </si>
  <si>
    <t>20/12/1990</t>
  </si>
  <si>
    <t>23/06/2000</t>
  </si>
  <si>
    <t>19/02/2004</t>
  </si>
  <si>
    <t>18/05/2001</t>
  </si>
  <si>
    <t>22/10/1995</t>
  </si>
  <si>
    <t>22/02/1999</t>
  </si>
  <si>
    <t>Purav Parikh</t>
  </si>
  <si>
    <t>Krish Desai</t>
  </si>
  <si>
    <t xml:space="preserve">Heer Gohil </t>
  </si>
  <si>
    <t>Bansari Patel</t>
  </si>
  <si>
    <t>Dipti Parmar</t>
  </si>
  <si>
    <t>Mayur Solanki</t>
  </si>
  <si>
    <t>Ansh Dave</t>
  </si>
  <si>
    <t>Hetansh Gohil</t>
  </si>
  <si>
    <t>Male</t>
  </si>
  <si>
    <t>Female</t>
  </si>
  <si>
    <t>Himakshi Rathod</t>
  </si>
  <si>
    <r>
      <t>Que. 2</t>
    </r>
    <r>
      <rPr>
        <sz val="12"/>
        <color indexed="8"/>
        <rFont val="Cambria"/>
        <family val="1"/>
      </rPr>
      <t xml:space="preserve"> Hide and unhide certain rows and columns in a dataset. Explain why this could be useful in data analysis</t>
    </r>
  </si>
  <si>
    <t>Explain why this could be useful in data analysis</t>
  </si>
  <si>
    <r>
      <t xml:space="preserve"> Because </t>
    </r>
    <r>
      <rPr>
        <sz val="11"/>
        <color theme="1"/>
        <rFont val="Cambria"/>
        <family val="1"/>
        <scheme val="major"/>
      </rPr>
      <t>it helps you focus on relevant data and limit your analysis to a subset of the data</t>
    </r>
  </si>
  <si>
    <t>Pushti Panchal</t>
  </si>
  <si>
    <t>21/12/2003</t>
  </si>
  <si>
    <r>
      <t>Que. 3</t>
    </r>
    <r>
      <rPr>
        <sz val="12"/>
        <color indexed="8"/>
        <rFont val="Cambria"/>
        <family val="1"/>
      </rPr>
      <t xml:space="preserve"> Format a set of cells to have specific font styles, colors, and borders. Then, apply conditional formatting to highlight cells that meet specific conditions.</t>
    </r>
  </si>
  <si>
    <r>
      <t>Que. 4</t>
    </r>
    <r>
      <rPr>
        <sz val="12"/>
        <color indexed="8"/>
        <rFont val="Cambria"/>
        <family val="1"/>
        <scheme val="major"/>
      </rPr>
      <t xml:space="preserve"> Use auto formatting to quickly style a large data set. Compare the differences between manual and automatic formatting</t>
    </r>
  </si>
  <si>
    <t>Feature</t>
  </si>
  <si>
    <t>Auto Formatting</t>
  </si>
  <si>
    <t>Manual Formatting</t>
  </si>
  <si>
    <t>Time Efficiency</t>
  </si>
  <si>
    <t>Quick and applies consistent styling instantly.</t>
  </si>
  <si>
    <t>Takes time, especially for large datasets.</t>
  </si>
  <si>
    <t>Consistency</t>
  </si>
  <si>
    <t>Automatically applies uniform style across the dataset.</t>
  </si>
  <si>
    <t>Prone to inconsistencies if styles are applied by hand.</t>
  </si>
  <si>
    <t>Customization</t>
  </si>
  <si>
    <t>Limited to available pre-set styles.</t>
  </si>
  <si>
    <t>Allows full customization of every detail (fonts, colors, borders).</t>
  </si>
  <si>
    <t>Formatting Updates</t>
  </si>
  <si>
    <t>Easily change style by selecting a new pre-set.</t>
  </si>
  <si>
    <t>Requires re-applying individual styles for each update.</t>
  </si>
  <si>
    <t>Complex Formatting Rules</t>
  </si>
  <si>
    <t>Limited to basic table designs.</t>
  </si>
  <si>
    <t>Allows for detailed and complex formatting, including conditional formatting.</t>
  </si>
  <si>
    <t>Highlighting Patterns</t>
  </si>
  <si>
    <t>Often includes alternate row colors for readability.</t>
  </si>
  <si>
    <t>Manual adjustments needed for alternate rows, etc.</t>
  </si>
  <si>
    <t>Compare the differences between manual and automatic formatting</t>
  </si>
  <si>
    <r>
      <t>Que. 5</t>
    </r>
    <r>
      <rPr>
        <sz val="12"/>
        <color indexed="8"/>
        <rFont val="Cambria"/>
        <family val="1"/>
        <scheme val="major"/>
      </rPr>
      <t xml:space="preserve"> Add comments to certain cells to explain the content or provide feedback.</t>
    </r>
  </si>
  <si>
    <t>Product ID</t>
  </si>
  <si>
    <t>Product Name</t>
  </si>
  <si>
    <t>Category</t>
  </si>
  <si>
    <t>Price ($)</t>
  </si>
  <si>
    <t>Stock Quantity</t>
  </si>
  <si>
    <t>Supplier</t>
  </si>
  <si>
    <t>P101</t>
  </si>
  <si>
    <t>Apple iPhone 14</t>
  </si>
  <si>
    <t>Electronics</t>
  </si>
  <si>
    <t>ABC Corp</t>
  </si>
  <si>
    <t>P102</t>
  </si>
  <si>
    <t>Samsung Galaxy S22</t>
  </si>
  <si>
    <t>P103</t>
  </si>
  <si>
    <t>Dell XPS 13</t>
  </si>
  <si>
    <t>Computers</t>
  </si>
  <si>
    <t>XYZ Ltd</t>
  </si>
  <si>
    <t>P104</t>
  </si>
  <si>
    <t>Nike Air Max</t>
  </si>
  <si>
    <t>Apparel</t>
  </si>
  <si>
    <t>FashionCo</t>
  </si>
  <si>
    <t>P105</t>
  </si>
  <si>
    <t>Levi's Jeans</t>
  </si>
  <si>
    <t>P106</t>
  </si>
  <si>
    <t>Kitchen Blender</t>
  </si>
  <si>
    <t>Home Goods</t>
  </si>
  <si>
    <t>HomeStuff</t>
  </si>
  <si>
    <t>P107</t>
  </si>
  <si>
    <t>Office Chair</t>
  </si>
  <si>
    <t>Furniture</t>
  </si>
  <si>
    <t>FurniMart</t>
  </si>
  <si>
    <t>P108</t>
  </si>
  <si>
    <t>Coffee Maker</t>
  </si>
  <si>
    <t>P109</t>
  </si>
  <si>
    <t>Sony Headphones</t>
  </si>
  <si>
    <t>P110</t>
  </si>
  <si>
    <t>Logitech Mouse</t>
  </si>
  <si>
    <r>
      <t>Que. 6</t>
    </r>
    <r>
      <rPr>
        <sz val="12"/>
        <color indexed="8"/>
        <rFont val="Cambria"/>
        <family val="1"/>
        <scheme val="major"/>
      </rPr>
      <t xml:space="preserve"> Define a range of cells and demonstrate how to work with ranges to perform bulk operations.</t>
    </r>
  </si>
  <si>
    <r>
      <t>Que. 7</t>
    </r>
    <r>
      <rPr>
        <sz val="12"/>
        <color indexed="8"/>
        <rFont val="Cambria"/>
        <family val="1"/>
        <scheme val="major"/>
      </rPr>
      <t xml:space="preserve"> Use basic arithmetic formulas (addition, subtraction, multiplication, division) to calculate totals or averages in a dataset</t>
    </r>
  </si>
  <si>
    <t>Product</t>
  </si>
  <si>
    <t>Sales Q1 ($)</t>
  </si>
  <si>
    <t>Sales Q2 ($)</t>
  </si>
  <si>
    <t>Sales Q3 ($)</t>
  </si>
  <si>
    <t>Sales Q4 ($)</t>
  </si>
  <si>
    <t>Laptop</t>
  </si>
  <si>
    <t>Smartphone</t>
  </si>
  <si>
    <t>Tablet</t>
  </si>
  <si>
    <t>Desktop</t>
  </si>
  <si>
    <t>Headphones</t>
  </si>
  <si>
    <t>Keyboard</t>
  </si>
  <si>
    <t>Mouse</t>
  </si>
  <si>
    <t>Monitor</t>
  </si>
  <si>
    <t>Printer</t>
  </si>
  <si>
    <t>Scanner</t>
  </si>
  <si>
    <t>Available Stocks</t>
  </si>
  <si>
    <t xml:space="preserve">Sales Q1 </t>
  </si>
  <si>
    <t>Sales Q2</t>
  </si>
  <si>
    <t xml:space="preserve">Sales Q3 </t>
  </si>
  <si>
    <t xml:space="preserve">Sales Q4 </t>
  </si>
  <si>
    <t>Price</t>
  </si>
  <si>
    <t>Addition</t>
  </si>
  <si>
    <t>division</t>
  </si>
  <si>
    <t>subtraction</t>
  </si>
  <si>
    <t>multiplication</t>
  </si>
  <si>
    <t>Total Sales</t>
  </si>
  <si>
    <t>Avarage Sales</t>
  </si>
  <si>
    <t>Salesperson</t>
  </si>
  <si>
    <t>Alice</t>
  </si>
  <si>
    <t>Bob</t>
  </si>
  <si>
    <t>Charlie</t>
  </si>
  <si>
    <t>Dave</t>
  </si>
  <si>
    <t>Eve</t>
  </si>
  <si>
    <t>Frank</t>
  </si>
  <si>
    <t>Grace</t>
  </si>
  <si>
    <t>Hannah</t>
  </si>
  <si>
    <t>Ian</t>
  </si>
  <si>
    <t>John</t>
  </si>
  <si>
    <t>Total</t>
  </si>
  <si>
    <t>Average</t>
  </si>
  <si>
    <t>Count</t>
  </si>
  <si>
    <t>Max</t>
  </si>
  <si>
    <t>Min</t>
  </si>
  <si>
    <t>Nest Function</t>
  </si>
  <si>
    <r>
      <rPr>
        <b/>
        <sz val="12"/>
        <color theme="1"/>
        <rFont val="Cambria"/>
        <family val="1"/>
        <scheme val="major"/>
      </rPr>
      <t xml:space="preserve">Que. 8 </t>
    </r>
    <r>
      <rPr>
        <sz val="12"/>
        <color theme="1"/>
        <rFont val="Cambria"/>
        <family val="1"/>
        <scheme val="major"/>
      </rPr>
      <t>Apply functions like SUM, AVERAGE, COUNT, MAX, and MIN to a range of data. Show how to nest functions for more complex calculations</t>
    </r>
  </si>
  <si>
    <r>
      <rPr>
        <b/>
        <sz val="12"/>
        <color theme="1"/>
        <rFont val="Cambria"/>
        <family val="1"/>
        <scheme val="major"/>
      </rPr>
      <t xml:space="preserve">Que. 9 </t>
    </r>
    <r>
      <rPr>
        <sz val="12"/>
        <color theme="1"/>
        <rFont val="Cambria"/>
        <family val="1"/>
        <scheme val="major"/>
      </rPr>
      <t>Record a macro that automates a repetitive task like formatting or calculating. Demonstrate how to store and use the macro in different worksheets</t>
    </r>
  </si>
  <si>
    <t>Salesmen</t>
  </si>
  <si>
    <t>Sales Q1</t>
  </si>
  <si>
    <t>Sales Q4</t>
  </si>
  <si>
    <t>Sales Q3</t>
  </si>
  <si>
    <t>Lan</t>
  </si>
  <si>
    <t>ctrl + k</t>
  </si>
  <si>
    <t>SmartPhone</t>
  </si>
  <si>
    <t>HeadPhones</t>
  </si>
  <si>
    <r>
      <rPr>
        <b/>
        <sz val="12"/>
        <color theme="1"/>
        <rFont val="Cambria"/>
        <family val="1"/>
      </rPr>
      <t xml:space="preserve">Que. 10 </t>
    </r>
    <r>
      <rPr>
        <sz val="12"/>
        <color theme="1"/>
        <rFont val="Cambria"/>
        <family val="1"/>
      </rPr>
      <t>Create a data series and use it to generate a category-based chart using the chart wizard</t>
    </r>
  </si>
  <si>
    <t>Macros Key</t>
  </si>
  <si>
    <r>
      <rPr>
        <b/>
        <sz val="12"/>
        <color theme="1"/>
        <rFont val="Cambria"/>
        <family val="1"/>
      </rPr>
      <t xml:space="preserve">Que. 11 </t>
    </r>
    <r>
      <rPr>
        <sz val="12"/>
        <color theme="1"/>
        <rFont val="Cambria"/>
        <family val="1"/>
      </rPr>
      <t>Adjust the data in an existing chart and explore how this affects the visualization. Change the formatting of the chart for a more professional presentation.</t>
    </r>
  </si>
  <si>
    <r>
      <rPr>
        <b/>
        <sz val="12"/>
        <color theme="1"/>
        <rFont val="Cambria"/>
        <family val="1"/>
      </rPr>
      <t xml:space="preserve">Que. 12 </t>
    </r>
    <r>
      <rPr>
        <sz val="12"/>
        <color theme="1"/>
        <rFont val="Cambria"/>
        <family val="1"/>
      </rPr>
      <t>Combine different types of charts (e.g., bar and line charts) in the same chart to display multiple data trends</t>
    </r>
  </si>
  <si>
    <t>Q1 Profit (₹)</t>
  </si>
  <si>
    <t>Q2 Profit (₹)</t>
  </si>
  <si>
    <t>Q3 Profit (₹)</t>
  </si>
  <si>
    <t>Q4 Profit (₹)</t>
  </si>
  <si>
    <t>KOKATE C.K.</t>
  </si>
  <si>
    <t>NIRALI PRAKASHAN</t>
  </si>
  <si>
    <t>PUNE</t>
  </si>
  <si>
    <t>MISHRA ARUN K.</t>
  </si>
  <si>
    <t>KOSEY SOURABH.</t>
  </si>
  <si>
    <t>BHISE S.B.</t>
  </si>
  <si>
    <t>HABBU PRASANNA.</t>
  </si>
  <si>
    <t>DAS KUNTAL.</t>
  </si>
  <si>
    <t>SHUKLA PADMINI.</t>
  </si>
  <si>
    <t>A TEXTBOOK OF PHARMACOGNOSY/</t>
  </si>
  <si>
    <t>BAKLIWAL SUNIL.</t>
  </si>
  <si>
    <t>AHUJA  NARESH.</t>
  </si>
  <si>
    <t>CHANDAK SHYAM.</t>
  </si>
  <si>
    <t>KUCHEKAR BHANUDAS S.</t>
  </si>
  <si>
    <t>NEMA, RAJESHKUMAR.</t>
  </si>
  <si>
    <t>MISHRA, ARUN.</t>
  </si>
  <si>
    <t>DAS, KANTAL.</t>
  </si>
  <si>
    <t>A TEXTBOOK OF BIOCHEMSTRY AND CLINICAL PATHOLOGY/</t>
  </si>
  <si>
    <t>TIWARI, ABHISHEK.</t>
  </si>
  <si>
    <t>BJISE, S. B. .</t>
  </si>
  <si>
    <t>HAJARE, ASHOK.</t>
  </si>
  <si>
    <t>TIWARI, MEGHA.</t>
  </si>
  <si>
    <t>KALE, SHRADDHA R.</t>
  </si>
  <si>
    <t>YADAV, ABHIKARO.</t>
  </si>
  <si>
    <t>KASTURE, A.V .</t>
  </si>
  <si>
    <t>A TEXTBOOK OF PHARMACEUTICAL CHEMISTRY/</t>
  </si>
  <si>
    <t>MAHADIK, K. R.</t>
  </si>
  <si>
    <t>BILANDI, AJAY.</t>
  </si>
  <si>
    <t>A TEXTBOOK OF PHARMACEUTICS/</t>
  </si>
  <si>
    <t>BAKLIWAL, SUNIL.</t>
  </si>
  <si>
    <t>A TEXTBOOK OF PHARMACEUTICAL INORGANIC CHEMISTRY/</t>
  </si>
  <si>
    <t>GUPTA, JYOTI.</t>
  </si>
  <si>
    <t>SWAMY, SHIVKUMAR.</t>
  </si>
  <si>
    <t>BOTHARA, K.G.</t>
  </si>
  <si>
    <t>A TEXTBOOK OF PHARMACEUTICS - 1/</t>
  </si>
  <si>
    <t>GOKHALE, S. B.</t>
  </si>
  <si>
    <t>YADAV, ADHIKRAO.</t>
  </si>
  <si>
    <t>A TEXTBOOK OF COMMUNITY PHARMACY AND MANAGMENT/</t>
  </si>
  <si>
    <t xml:space="preserve"> A TEXTBOOK OF PHARMACEUTICS - 1/</t>
  </si>
  <si>
    <t>ALAM, SANJAR.</t>
  </si>
  <si>
    <t>A TEXTBOOK OF PHARMACEUTICS FOR B. PHARM/</t>
  </si>
  <si>
    <t>PAWAR, ATMARAM.</t>
  </si>
  <si>
    <t>HAJARE, A.A.</t>
  </si>
  <si>
    <t>A TEXTBOOK OF PHARMACEUTICAL ANALYSIS/</t>
  </si>
  <si>
    <t>KUMAR, PUSPENDRA.</t>
  </si>
  <si>
    <t>JAIN K. S.</t>
  </si>
  <si>
    <t>WALODE, SANJAY.</t>
  </si>
  <si>
    <t>A  TEXTBOOK OF COMMUNICATION AND SOFT SKILL DEVELOPMENT/</t>
  </si>
  <si>
    <t>OSWAL, PRAJESH .</t>
  </si>
  <si>
    <t>A TEXTBOOK OF REMEDIAL BIOLOGY/</t>
  </si>
  <si>
    <t>MONIKA, SACHDEVA.</t>
  </si>
  <si>
    <t>GOKHALE, S. B. .</t>
  </si>
  <si>
    <t>GUPTA, ARUNKUMAR.</t>
  </si>
  <si>
    <t>JAIN, K. S. .</t>
  </si>
  <si>
    <t>MAHADIK, K. R. .</t>
  </si>
  <si>
    <t>A TEXTBOOK OF HUMAN ANATOMY AND PHYSIOLOGY - 1/</t>
  </si>
  <si>
    <t>SRIDHARA, MURTHY N.B. .</t>
  </si>
  <si>
    <t>PRASAD, MAHESH.</t>
  </si>
  <si>
    <t>A TEXTBOOK OF HUMAN ANATOMY AND PHYSIOLOGY/</t>
  </si>
  <si>
    <t>BHISE, S. B.</t>
  </si>
  <si>
    <t>MADLIK, DEEPA.</t>
  </si>
  <si>
    <t>A TEXTBOOK OF REMEDIAL MATHEMATICS/</t>
  </si>
  <si>
    <t>SHARMA, P. K. .</t>
  </si>
  <si>
    <t>A TEXTBOOK OF COMMUNICATION SKILL/</t>
  </si>
  <si>
    <t>VYAWAHARE, N. S.</t>
  </si>
  <si>
    <t>PANDEY, MEENU.</t>
  </si>
  <si>
    <t>A TEXTBOOK OF DISPENSING ANF COMMUNITY PHARMACY/</t>
  </si>
  <si>
    <t>GOKHLE, S. B.</t>
  </si>
  <si>
    <t>A TEXTBOOK OF PHARMACEUTICAL BIOTECHNOLOGY</t>
  </si>
  <si>
    <t>KOKARE CHANDRAKANT</t>
  </si>
  <si>
    <t>YADAV, A. K. .</t>
  </si>
  <si>
    <t>A TEXTBOOK OF PRINCIPLE AND FUNDAMENTALS IN PHARMACOLOGY/</t>
  </si>
  <si>
    <t>SANKARKAR, D. M. .</t>
  </si>
  <si>
    <t>SAKARKAR, D. M. .</t>
  </si>
  <si>
    <t>ESSETIALS OF CLINICAL RESEARCH /</t>
  </si>
  <si>
    <t>GHOOI, RAVINDRA.</t>
  </si>
  <si>
    <t>KHADAHADI, S. S.</t>
  </si>
  <si>
    <t>RETROSYNTHETIC ANALYSIS AND SYSNTHESIS OF  DRUGS /</t>
  </si>
  <si>
    <t>GAIKWAD, N. J,.</t>
  </si>
  <si>
    <t>NOVEL DRUG DELIVERY SYSTEMS/</t>
  </si>
  <si>
    <t>BAVISKAR, DHEERAJ.</t>
  </si>
  <si>
    <t>APPLIED MEDICINAL BIOCHEMISTRY/</t>
  </si>
  <si>
    <t>BENDEGUMBLE, BASAWARAJ.</t>
  </si>
  <si>
    <t>A TEXTBOOK OF BIOCHEMISTRY/</t>
  </si>
  <si>
    <t>KAR, ASHUTOSH.</t>
  </si>
  <si>
    <t>A TEXTBOOK OF PATHOPHYSIOLOGY FOR PHARMACISTS/</t>
  </si>
  <si>
    <t>A TEXTBOOK OF BIO CHEMISTRY/</t>
  </si>
  <si>
    <t>PRAKASH, SURYA.</t>
  </si>
  <si>
    <t>A TEXTBOOK OF COMPUTER APPLICATIONS IN PHARMACY/</t>
  </si>
  <si>
    <t>GUPTA, G. D. .</t>
  </si>
  <si>
    <t>A TEXTBOOK OF ENVIRONMENTAL SCIENCE/</t>
  </si>
  <si>
    <t>GUPTA, N. K.</t>
  </si>
  <si>
    <t>PAWAR, KISHOR.</t>
  </si>
  <si>
    <t>A TEXTBOOK OF PATHOPHYSIOLOGY/</t>
  </si>
  <si>
    <t>SINGH, SUNIL.</t>
  </si>
  <si>
    <t>A TEXTBOOK OF BIOTECHMISTRY FOR PHARMASISTS/</t>
  </si>
  <si>
    <t>BHISE, S.B.</t>
  </si>
  <si>
    <t>A TEXTBOOK OF HUMAN ANATOMY AND PHYSIOLOGY - II/</t>
  </si>
  <si>
    <t>SRIDHAR, K. A.</t>
  </si>
  <si>
    <t>BHISE, S. B. .</t>
  </si>
  <si>
    <t>BHAGAT VISHWAS</t>
  </si>
  <si>
    <t>JANGME, C. M.</t>
  </si>
  <si>
    <t>AGARKAR, PADMAJA.</t>
  </si>
  <si>
    <t>A TEXTBOOK OF PHARMACEUTICAL ORGANIC CHEMISTRY/</t>
  </si>
  <si>
    <t>BHUSHAN, BIDYA.</t>
  </si>
  <si>
    <t>JAIN, KISHOR.</t>
  </si>
  <si>
    <t>MANDLIK DEEPA</t>
  </si>
  <si>
    <t xml:space="preserve">A TEXTBOOK OF INSTRUMENTAL METHODS IN PHARMACEUTICAL </t>
  </si>
  <si>
    <t>HADKAR, U.B. .</t>
  </si>
  <si>
    <t>A TEXTBOOK OF PHARMACEUTICS &amp; QUALITY ASSURANCE/</t>
  </si>
  <si>
    <t>POTDAR, MANOHAR.</t>
  </si>
  <si>
    <t>A TEXTBOOK OF COSMETIC LEGISTATION/</t>
  </si>
  <si>
    <t>SWARLATA, SARAF.</t>
  </si>
  <si>
    <t>A TEXTBOOK OF NATURAL EXCIPINTS/</t>
  </si>
  <si>
    <t>GAUD, R. S.</t>
  </si>
  <si>
    <t>A TEXTBOOK OF BASIC PHARMACOLOGY &amp; PHARMACOTHERAPEUTICS /</t>
  </si>
  <si>
    <t>NAIK, S.R.</t>
  </si>
  <si>
    <t>DRUGS INSECTOR : MULTIPLE CHOICE QUESTIONS/</t>
  </si>
  <si>
    <t>RAJASEKARN, A. .</t>
  </si>
  <si>
    <t>COMPILATION OF SELECTED HERBAL DRUGS /</t>
  </si>
  <si>
    <t>PRINCIPLES OF PHARMA COVIGILANCE /</t>
  </si>
  <si>
    <t>CALCALATIONS IN PHARMACEUTICAL SCIENCES/</t>
  </si>
  <si>
    <t>YADAV, A.V .</t>
  </si>
  <si>
    <t>A TEXTBOOK OF PRINCIPLES OF PATHOPHYSIOLOGY/</t>
  </si>
  <si>
    <t>DRUG REGULATORY AFFAIRS/</t>
  </si>
  <si>
    <t>A TEXTBOOK OF GENERAL PHARMACOLOGY/</t>
  </si>
  <si>
    <t>VYAWAHARE, N. .S.</t>
  </si>
  <si>
    <t>RESEARCH METHODOLOGY</t>
  </si>
  <si>
    <t>DRUG DESIGN/</t>
  </si>
  <si>
    <t>KULKARNI, V. M.</t>
  </si>
  <si>
    <t>FUNDAMENTAL OF PHARMACOLOGY/</t>
  </si>
  <si>
    <t>BOTHARA, K.G. .</t>
  </si>
  <si>
    <t>FUNDAMENTAL OF PHARMACOLOGY VOL.2/</t>
  </si>
  <si>
    <t>HAND BOOK OF CLINICAL PHARMACY/</t>
  </si>
  <si>
    <t>YADAV, A.V. .</t>
  </si>
  <si>
    <t>KOKARE, CHANDRAKANT .</t>
  </si>
  <si>
    <t>PHARMACEUTICAL AND MEDICINAL IN ORGANIC CHEMISTRY/</t>
  </si>
  <si>
    <t>RAO, GUNDU .</t>
  </si>
  <si>
    <t>VALLABH PRAKASHAN</t>
  </si>
  <si>
    <t>DELHI</t>
  </si>
  <si>
    <t>INTRODUTION TO BIOSTATISTICS AND COMPUTER SCIENCE/</t>
  </si>
  <si>
    <t>SHAH, Y.I.</t>
  </si>
  <si>
    <t>FORENSIC PHARMACY</t>
  </si>
  <si>
    <t xml:space="preserve">KUCHEKAR B S </t>
  </si>
  <si>
    <t>BIOPHARMACEUTICS AND PHARMACOKINETICS</t>
  </si>
  <si>
    <t>PARADKAR, ANANT.</t>
  </si>
  <si>
    <t>PRINCIPLES AND INDUSTRIAL APPLICATION OF PHARMACOKINETICS AND BIOPHARMACRUTICS/</t>
  </si>
  <si>
    <t>HARLE, UDAY.</t>
  </si>
  <si>
    <t>FOUNDATIONS OF MICROBIOLOGY /</t>
  </si>
  <si>
    <t>PATIL, ULHAS.</t>
  </si>
  <si>
    <t>CULTIVATION OF MEDICINAL PLANTS/</t>
  </si>
  <si>
    <t>KOKATE, C.K. .</t>
  </si>
  <si>
    <t>BODHANKAR, S. L.</t>
  </si>
  <si>
    <t>COMPRAHENSIVE PHARMACOGNOSY AND PHYTOCHEMISTRY/</t>
  </si>
  <si>
    <t>SHIRKHEDKAR, ATUL.</t>
  </si>
  <si>
    <t>BIOTECHOLOGY AND FERMENTATIONS PROCESS/</t>
  </si>
  <si>
    <t>D SOUZA, JOHN.</t>
  </si>
  <si>
    <t>BIOPHARMACEUTICS/</t>
  </si>
  <si>
    <t>PATEL, PRIYA.</t>
  </si>
  <si>
    <t>NUMERICELS FOR PHARMACY STUDENTS/</t>
  </si>
  <si>
    <t>CHAKOLKAR, MADHAV.</t>
  </si>
  <si>
    <t>A REFERENCE BOOK OF SPACTOOMETRIC METHOD OF PHARMACEUTICAL ANALYSIS/</t>
  </si>
  <si>
    <t>RAJASEKARAN, A. .</t>
  </si>
  <si>
    <t>PHARMACEUTICAL ORGANIC CHEMISTRY/</t>
  </si>
  <si>
    <t>DEODHAR, MEENAKSHI.</t>
  </si>
  <si>
    <t>INTEGRATION OF AYARVEDIC HERBAL MEDICINE INTO MORDEN MEDICINAL PRACTICES/</t>
  </si>
  <si>
    <t>JAIN, ASHISH.</t>
  </si>
  <si>
    <t>A TEXTBOOK OF PHYTOPHARMCEUTICALS/</t>
  </si>
  <si>
    <t>SHETTY, S.C .</t>
  </si>
  <si>
    <t>A TEXTBOOK OF METABOLIC PATHWAYS/</t>
  </si>
  <si>
    <t>SHARMA, MANVI.</t>
  </si>
  <si>
    <t>HUMAN ANATOMY AND PHYSIOLOGY/</t>
  </si>
  <si>
    <t>THAKARE, VISHNU.</t>
  </si>
  <si>
    <t>MCQS IN PHARMACY FOR GPAT/</t>
  </si>
  <si>
    <t>NASKAR, SAGAR.</t>
  </si>
  <si>
    <t>INGAWALE, DEEPA.</t>
  </si>
  <si>
    <t>A TEXTBOOK OF PHARMACEUTICAL BIOLOGY/</t>
  </si>
  <si>
    <t>CLASSIFICATION &amp; QUESTIONS IN PHARMACOLOGY/</t>
  </si>
  <si>
    <t>SAKARKAR, DINESH.</t>
  </si>
  <si>
    <t>A TEXTBOOK OF PHARMACEUTICAL ANALYSIS VOL.1/</t>
  </si>
  <si>
    <t>KASTURE, A.V.</t>
  </si>
  <si>
    <t>A TEXTBOOK OF PHARMACEUTICAL ANALYSIS VOL.2/</t>
  </si>
  <si>
    <t>KASTURE, A. .V.</t>
  </si>
  <si>
    <t>INTRODUCATION TO PHARMACEUTICAL ENGINEERING /</t>
  </si>
  <si>
    <t>PARADAKAR, ANAT.</t>
  </si>
  <si>
    <t>PRINCIPLES OF MEDICINAL CHEMISTRY/</t>
  </si>
  <si>
    <t>KADAM, S.S. .</t>
  </si>
  <si>
    <t>PRACTICAL PHARMACOGNOSY/</t>
  </si>
  <si>
    <t>KHANDELWA, K.R. .</t>
  </si>
  <si>
    <t>UNIT OPERATIONS - 1/</t>
  </si>
  <si>
    <t>GAVHAVE, K.A.</t>
  </si>
  <si>
    <t xml:space="preserve">Sr. No. </t>
  </si>
  <si>
    <t>Book Name</t>
  </si>
  <si>
    <t>Author</t>
  </si>
  <si>
    <t>Year</t>
  </si>
  <si>
    <t>Publication</t>
  </si>
  <si>
    <t>Publication Year</t>
  </si>
  <si>
    <r>
      <rPr>
        <b/>
        <sz val="12"/>
        <color theme="1"/>
        <rFont val="Cambria"/>
        <family val="1"/>
        <scheme val="major"/>
      </rPr>
      <t xml:space="preserve">Que. 13 </t>
    </r>
    <r>
      <rPr>
        <sz val="12"/>
        <color theme="1"/>
        <rFont val="Cambria"/>
        <family val="1"/>
        <scheme val="major"/>
      </rPr>
      <t>Filter a dataset using Auto Filter and Advanced Filter to isolate specific information.</t>
    </r>
  </si>
  <si>
    <t>A NEW APPROACH TO PHARMACEUTICAL ANALYSIS - 1/</t>
  </si>
  <si>
    <t>SUDHA T.</t>
  </si>
  <si>
    <t>NEW CONCEPTS IN PHARMACEUTICAL ORGANIC CHEMISTRY/</t>
  </si>
  <si>
    <t>RAJENDRA S S.</t>
  </si>
  <si>
    <t>PHARMACEUTICAL MICROBIOLOGY LABORATORY MANUAL /</t>
  </si>
  <si>
    <t>RATHI SANJAY.</t>
  </si>
  <si>
    <t>PHARMACEUTICAL ENGINEERING UNIT OPERATIONS /</t>
  </si>
  <si>
    <t>SUBRAHMANYAM C V S .</t>
  </si>
  <si>
    <t>A TEXTBOOK OF PHARMACEUTICAL JURISPRUDENCE/</t>
  </si>
  <si>
    <t>JANI, GIRISH .</t>
  </si>
  <si>
    <t>PRACTICAL ORGANIC CHEMISTRY/</t>
  </si>
  <si>
    <t>RAVAL HITESH.</t>
  </si>
  <si>
    <t>A TEXTBOOK OF PHARMACOGNOSY AND PHYTHOCHEMISTRY - 1/</t>
  </si>
  <si>
    <t>PRACTICAL IN PHARMACOGNOSY TECHNIQUES AND EXPERIMENT/</t>
  </si>
  <si>
    <t>KHANDELWAL K R .</t>
  </si>
  <si>
    <t>PRACTICAL BIOCHEMISTRY AND CLINICAL PATHOLOGY/</t>
  </si>
  <si>
    <t>GOYAL R  K .</t>
  </si>
  <si>
    <t>PHARMACEUTICAL ENGINEERING/</t>
  </si>
  <si>
    <t>JANI G K .</t>
  </si>
  <si>
    <t>C S SHAH'S PHARMACOGNOSY/</t>
  </si>
  <si>
    <t>SHAH C S.</t>
  </si>
  <si>
    <t>PRACTICAL IN ORGANIC AND MEDICINAL CHEMISTRY/</t>
  </si>
  <si>
    <t>BHATT HARDIK.</t>
  </si>
  <si>
    <t>A TEXTBOOK OF HOSPITAL PHARMACY/</t>
  </si>
  <si>
    <t>GOYAL R K .</t>
  </si>
  <si>
    <t>TEXTBOOK OF PHYSIOLOGY FOR PHYSIOTHERAPY/</t>
  </si>
  <si>
    <t>A TEXTBOOK OF PHARMACY PRACTICE/</t>
  </si>
  <si>
    <t>PHARMACEUTICAL MICROBIOLOGY/</t>
  </si>
  <si>
    <t>AGARKAR P H .</t>
  </si>
  <si>
    <t>TIWARI ABHISHEK.</t>
  </si>
  <si>
    <t>A TEXTBOOK OF PHARMACOLOGICAL SCREENING METHODS/</t>
  </si>
  <si>
    <t>JAIN N S .</t>
  </si>
  <si>
    <t>THE PHARMACEUTICAL SCIENCES PHARMA PATHWAY/</t>
  </si>
  <si>
    <t>SAVANT, D. A.</t>
  </si>
  <si>
    <t xml:space="preserve">A TETXTBOOK OF BIOSTATISTICS AND INTRODUCTORY CALCULUS </t>
  </si>
  <si>
    <t>SINGH SHUBHRA</t>
  </si>
  <si>
    <t xml:space="preserve">INTRODUCTION TO BIOSTATISTICS AND COMPUTER SCIENCE </t>
  </si>
  <si>
    <t xml:space="preserve">SHAH I Y </t>
  </si>
  <si>
    <t xml:space="preserve">SHARMA P K </t>
  </si>
  <si>
    <t>PANDEY MEENA</t>
  </si>
  <si>
    <t>PHARMACEUTICAL BIOTECHNOLOGY</t>
  </si>
  <si>
    <t>DRUG DISCOVERY &amp; DEVELOPMENT IN MEDICINAL CHEMISTRY/</t>
  </si>
  <si>
    <t>DANIEL, KRATIKA.</t>
  </si>
  <si>
    <t>A BOOK OF PHARMACEUTICAL ORGANIC CHEMISTRY/</t>
  </si>
  <si>
    <t>JAIN K S.</t>
  </si>
  <si>
    <t>A TEXTBOOK OF CHEMISTRY OF NUTURAL PRODUCTS/</t>
  </si>
  <si>
    <t>JALALPURE SUNIL</t>
  </si>
  <si>
    <t>INDUSTRIAL BIOTECHONOLOGY/</t>
  </si>
  <si>
    <t xml:space="preserve">BANDELA N N </t>
  </si>
  <si>
    <t>A TEXTBOOK OF A GLIMPSE ON PHARMACOLOGY</t>
  </si>
  <si>
    <t xml:space="preserve">RAO LAKSHMANA </t>
  </si>
  <si>
    <t xml:space="preserve">FUNDAMENTALS OF PHARMACOECONOMICS </t>
  </si>
  <si>
    <t>FULORIA, NEERAJ.</t>
  </si>
  <si>
    <t xml:space="preserve">PHARMACEUTICAL ANALYSIS </t>
  </si>
  <si>
    <t>BRITISH PHARMACOPOEIA 2023</t>
  </si>
  <si>
    <t>MEDICINES &amp; HEALTHCARE PRO. REGULATORY AGENCY</t>
  </si>
  <si>
    <t>STEPS IN QUALITY ASSURANCE IN PHARMACEUTICALS/</t>
  </si>
  <si>
    <t>SALUNKHE VIJAY</t>
  </si>
  <si>
    <t>NOMENCLATURE OF ORGANIC AND MEDICINAL COMPOUNDS/</t>
  </si>
  <si>
    <t>BARI SANJAY</t>
  </si>
  <si>
    <t>A BOOK OF PHARMACEUTICAL INORGANIC CHEMISTRY/</t>
  </si>
  <si>
    <t>A TEXTBOOK OF PHARMACEUTICAL CHEMISTRY</t>
  </si>
  <si>
    <t>A TEXTBOOK OF PHARMACEUTICAL ORGANIC CHEMISTRY 2</t>
  </si>
  <si>
    <t>A PRACTICAL BOOK OF PHARMACEUTICAL ORGANIC CHEMISTRY</t>
  </si>
  <si>
    <t>BHOLE RITESH</t>
  </si>
  <si>
    <t>PHARMACEUTICAL MICROBIOLOGY PRINCIPLES AND APPLICATIONS/</t>
  </si>
  <si>
    <t>KOKARE.</t>
  </si>
  <si>
    <t>RANG AND DALE'S PHARMACOLOGY/</t>
  </si>
  <si>
    <t>RITTER JAMES.</t>
  </si>
  <si>
    <t>PHARMACEUTICAL DRUG ANALYSIS</t>
  </si>
  <si>
    <t>KAR ASHUTOSH.</t>
  </si>
  <si>
    <t>TEXTBOOK OF PHARMACEUTICAL ANALYSIS/</t>
  </si>
  <si>
    <t>SANKAR RAVI.</t>
  </si>
  <si>
    <t>TEXTBOOK OF INDUSTRIAL PHARMACOGNOSY/</t>
  </si>
  <si>
    <t>KALIA A. N. .</t>
  </si>
  <si>
    <t>PHARMACEUTICAL ENGINEERING : THE PRACTICAL APPROACH UNIT OPERATION/</t>
  </si>
  <si>
    <t>SUBRAHMANAYAM C V S .</t>
  </si>
  <si>
    <t>JANI, G K .</t>
  </si>
  <si>
    <t>PHARMACEUTICAL CHEMISTRY INORGANIC - 1/</t>
  </si>
  <si>
    <t>CHATWL G R .</t>
  </si>
  <si>
    <t>ORGANIC CHEMISTRY/</t>
  </si>
  <si>
    <t>MORRISON ROBERT.</t>
  </si>
  <si>
    <t>TEXTBOOK OF ORGANIC CHEMISTRY/</t>
  </si>
  <si>
    <t>SONI P L .</t>
  </si>
  <si>
    <t>ELEMENT OF HUMAN ANATOMY AND PHYSIOLOGY AND HEALTH EDUCATION/</t>
  </si>
  <si>
    <t>PHARMACEUTICAL MICROBIOLOGY /</t>
  </si>
  <si>
    <t>WANI IMTIYAZ.</t>
  </si>
  <si>
    <t>PRATICAL PHARMACEUTICAL MICROBIOLOGY/</t>
  </si>
  <si>
    <t>USMAN RAGEEB.</t>
  </si>
  <si>
    <t>ESSENTICAL OF PHYSICAL PHARMACY/</t>
  </si>
  <si>
    <t>PHYSICAL PHARMACRUTICS - 1/</t>
  </si>
  <si>
    <t>SHARMA SHALINI.</t>
  </si>
  <si>
    <t>SYSTEMATIC APPROACH TO PRATICAL PHARMACEUTICAL /</t>
  </si>
  <si>
    <t>SETH A K .</t>
  </si>
  <si>
    <t>PHARMACEUTICAL AND MEDICINAL INORGANIC CHEMISTRY/</t>
  </si>
  <si>
    <t>RAO GUNDU.</t>
  </si>
  <si>
    <t>PHARMACOGNOSY AND PHYTOCHEMISTRY - 1/</t>
  </si>
  <si>
    <t>RANGARI VINOD.</t>
  </si>
  <si>
    <t>PHARMACOGNOSY AND PHYTOCHEMISTRY - 2/</t>
  </si>
  <si>
    <t>ROBBIN AND COTRAN PATHOLOGIC BASIS OF DISEASE VOL . 1 /</t>
  </si>
  <si>
    <t>SINGH MANOJ.</t>
  </si>
  <si>
    <t>ROBBIN AND COTRAN PATHOLOGIC BASIS OF DISEASE VOL . 2/</t>
  </si>
  <si>
    <t>VOGEL'S TEXTBOOK OF PRACTICAL ORGANIC CHEMISTRY/</t>
  </si>
  <si>
    <t>FURNISS BRIAN.</t>
  </si>
  <si>
    <t xml:space="preserve">ANALYTICAL CHEMISTRY : PRINCIPLES </t>
  </si>
  <si>
    <t xml:space="preserve">KENNEDY J H </t>
  </si>
  <si>
    <t>PHARMACEUTICS -1</t>
  </si>
  <si>
    <t xml:space="preserve">ALAM SANJAR </t>
  </si>
  <si>
    <t>PHARMACEUTICAL ORGANIC CHEMISTRY -I</t>
  </si>
  <si>
    <t>A TEXTBOOK OF BIOCHEMISTRY</t>
  </si>
  <si>
    <t xml:space="preserve">A TEXTBOOK OF PATHOPHYSIOLOGY </t>
  </si>
  <si>
    <t>SINGH SUNIL</t>
  </si>
  <si>
    <t>MADAN KAUSHIK</t>
  </si>
  <si>
    <t>CONCISE COURSE IN PATHOPHYSIOLOGY/</t>
  </si>
  <si>
    <t>SALUKHE ATISH</t>
  </si>
  <si>
    <t>CONCISE COURSE INPHARMACEUTICAL ORGANIC  CHEMISTRY - III</t>
  </si>
  <si>
    <t xml:space="preserve">NERKER AMIT </t>
  </si>
  <si>
    <t>PHARMACEUTICAL ORGANIC CHEMISTRY - III</t>
  </si>
  <si>
    <t>ARORA VARUN</t>
  </si>
  <si>
    <t>THEORY CUM PRACTICAL MEDICINAL CHEMISTRY - I/</t>
  </si>
  <si>
    <t>PATIL SHEETAL.</t>
  </si>
  <si>
    <t xml:space="preserve">PHARMACEUTICAL ENGINEERING THEORY CUM PRATICAL </t>
  </si>
  <si>
    <t>PRATICAL PHARMACEUTICAL ORGANIC CHEMISTRY - II</t>
  </si>
  <si>
    <t>UMARKAR ARVIND.</t>
  </si>
  <si>
    <t xml:space="preserve">PRACTICAL PHARMACEUTICAL ENGINEERING </t>
  </si>
  <si>
    <t>GOTI SETH.</t>
  </si>
  <si>
    <t xml:space="preserve"> A TEXTBOOK OF PHARMACEUTICS -I</t>
  </si>
  <si>
    <t>WILSON'S  TEXTBOOK OF ORGANIC MEDICINAL &amp; PHARMACEUTICAL CHEMISTRY/</t>
  </si>
  <si>
    <t>BEALE JOHN.</t>
  </si>
  <si>
    <t>ANATOMY PHYSIOLOGY &amp; HEALTH EDUCATION/</t>
  </si>
  <si>
    <t>AGRAWAL ROHINI</t>
  </si>
  <si>
    <t>A TEXTBOOK OF PHARMACOLOGY - I/</t>
  </si>
  <si>
    <t>KAUSHIK MADAN.</t>
  </si>
  <si>
    <t>Sr. No.</t>
  </si>
  <si>
    <t>Pub. Date</t>
  </si>
  <si>
    <t>Row Labels</t>
  </si>
  <si>
    <t>Grand Total</t>
  </si>
  <si>
    <t>Values</t>
  </si>
  <si>
    <t>Sum of Math</t>
  </si>
  <si>
    <t>Sum of English</t>
  </si>
  <si>
    <t>Sum of Science</t>
  </si>
  <si>
    <t>Sum of Social Science</t>
  </si>
  <si>
    <r>
      <rPr>
        <b/>
        <sz val="12"/>
        <color indexed="8"/>
        <rFont val="Cambria"/>
        <family val="1"/>
        <scheme val="major"/>
      </rPr>
      <t xml:space="preserve">Que. 15 </t>
    </r>
    <r>
      <rPr>
        <sz val="12"/>
        <color indexed="8"/>
        <rFont val="Cambria"/>
        <family val="1"/>
        <scheme val="major"/>
      </rPr>
      <t>Create a Pivot Table to summarize large datasets, and use the Pivot Table wizard to adjust rows, columns, and filters</t>
    </r>
  </si>
  <si>
    <r>
      <rPr>
        <b/>
        <sz val="12"/>
        <color indexed="8"/>
        <rFont val="Cambria"/>
        <family val="1"/>
        <scheme val="major"/>
      </rPr>
      <t xml:space="preserve">Que. 16 </t>
    </r>
    <r>
      <rPr>
        <sz val="12"/>
        <color indexed="8"/>
        <rFont val="Cambria"/>
        <family val="1"/>
        <scheme val="major"/>
      </rPr>
      <t>Generate a Pivot Chart based on the Pivot Table data to visually represent the summarized information</t>
    </r>
  </si>
  <si>
    <r>
      <rPr>
        <b/>
        <sz val="12"/>
        <color indexed="8"/>
        <rFont val="Cambria"/>
        <family val="1"/>
        <scheme val="major"/>
      </rPr>
      <t xml:space="preserve">Que. 19 </t>
    </r>
    <r>
      <rPr>
        <sz val="12"/>
        <color indexed="8"/>
        <rFont val="Cambria"/>
        <family val="1"/>
        <scheme val="major"/>
      </rPr>
      <t>Conduct a "what-if" analysis using Goal Seek to find the input needed to achieve a specific outcome</t>
    </r>
  </si>
  <si>
    <t>What-if- Analysis</t>
  </si>
  <si>
    <t>Quantity</t>
  </si>
  <si>
    <t>Total Revenue</t>
  </si>
  <si>
    <t>Transport Cost</t>
  </si>
  <si>
    <t>Item Cost</t>
  </si>
  <si>
    <t>Total Cost</t>
  </si>
  <si>
    <t>Profit</t>
  </si>
  <si>
    <t xml:space="preserve">Loan Amount </t>
  </si>
  <si>
    <t>interest Rate</t>
  </si>
  <si>
    <t>No of Monthly Payments</t>
  </si>
  <si>
    <t>Monthly Payments</t>
  </si>
  <si>
    <r>
      <rPr>
        <b/>
        <sz val="12"/>
        <color indexed="8"/>
        <rFont val="Cambria"/>
        <family val="1"/>
        <scheme val="major"/>
      </rPr>
      <t xml:space="preserve">Que. 18 </t>
    </r>
    <r>
      <rPr>
        <sz val="12"/>
        <color indexed="8"/>
        <rFont val="Cambria"/>
        <family val="1"/>
        <scheme val="major"/>
      </rPr>
      <t>Use a two-variable data table to analyze multiple scenarios and how different inputs affect the final result</t>
    </r>
  </si>
  <si>
    <r>
      <rPr>
        <b/>
        <sz val="12"/>
        <color indexed="8"/>
        <rFont val="Cambria"/>
        <family val="1"/>
        <scheme val="major"/>
      </rPr>
      <t xml:space="preserve">Que. 17 </t>
    </r>
    <r>
      <rPr>
        <sz val="12"/>
        <color indexed="8"/>
        <rFont val="Cambria"/>
        <family val="1"/>
        <scheme val="major"/>
      </rPr>
      <t>Perform a one-variable data table to analyze how changes in a single variable affect a formula or function</t>
    </r>
  </si>
  <si>
    <t xml:space="preserve">Amout </t>
  </si>
  <si>
    <t>Int. Rate</t>
  </si>
  <si>
    <t>Input</t>
  </si>
  <si>
    <t>Output</t>
  </si>
  <si>
    <t>Region</t>
  </si>
  <si>
    <t>West</t>
  </si>
  <si>
    <t>North</t>
  </si>
  <si>
    <t>South</t>
  </si>
  <si>
    <t>East</t>
  </si>
  <si>
    <t>Q1 Sales (₹)</t>
  </si>
  <si>
    <t>Q2 Sales (₹)</t>
  </si>
  <si>
    <t>Q3 Sales (₹)</t>
  </si>
  <si>
    <t>Q4 Sales (₹)</t>
  </si>
  <si>
    <r>
      <rPr>
        <b/>
        <sz val="11"/>
        <color theme="1"/>
        <rFont val="Cambria"/>
        <family val="1"/>
        <scheme val="major"/>
      </rPr>
      <t xml:space="preserve">Que. 14 </t>
    </r>
    <r>
      <rPr>
        <sz val="11"/>
        <color theme="1"/>
        <rFont val="Cambria"/>
        <family val="1"/>
        <scheme val="major"/>
      </rPr>
      <t>Sort a list of data by multiple criteria (e.g., alphabetically by name, then by date).</t>
    </r>
  </si>
  <si>
    <r>
      <rPr>
        <b/>
        <sz val="12"/>
        <color theme="1"/>
        <rFont val="Cambria"/>
        <family val="1"/>
        <scheme val="major"/>
      </rPr>
      <t>Que. 20</t>
    </r>
    <r>
      <rPr>
        <sz val="12"/>
        <color theme="1"/>
        <rFont val="Cambria"/>
        <family val="1"/>
        <scheme val="major"/>
      </rPr>
      <t xml:space="preserve"> Protect a worksheet and workbook, set a password, and demonstrate how to unprotect it.</t>
    </r>
  </si>
  <si>
    <t>Protect a worksheet</t>
  </si>
  <si>
    <t>UnProtect a worksheet</t>
  </si>
  <si>
    <t>Protect a workbook</t>
  </si>
  <si>
    <t>Password : 123</t>
  </si>
</sst>
</file>

<file path=xl/styles.xml><?xml version="1.0" encoding="utf-8"?>
<styleSheet xmlns="http://schemas.openxmlformats.org/spreadsheetml/2006/main">
  <numFmts count="3">
    <numFmt numFmtId="6" formatCode="&quot;$&quot;#,##0_);[Red]\(&quot;$&quot;#,##0\)"/>
    <numFmt numFmtId="8" formatCode="&quot;$&quot;#,##0.00_);[Red]\(&quot;$&quot;#,##0.00\)"/>
    <numFmt numFmtId="164" formatCode="&quot;$&quot;#,##0;[Red]&quot;$&quot;#,##0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mbria"/>
      <family val="1"/>
    </font>
    <font>
      <sz val="12"/>
      <color indexed="8"/>
      <name val="Cambria"/>
      <family val="1"/>
    </font>
    <font>
      <b/>
      <sz val="14"/>
      <color indexed="8"/>
      <name val="Cambria"/>
      <family val="1"/>
    </font>
    <font>
      <b/>
      <sz val="12"/>
      <color indexed="8"/>
      <name val="Cambria"/>
      <family val="1"/>
    </font>
    <font>
      <b/>
      <sz val="12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color rgb="FF001D35"/>
      <name val="Cambria"/>
      <family val="1"/>
      <scheme val="major"/>
    </font>
    <font>
      <b/>
      <sz val="12"/>
      <color indexed="8"/>
      <name val="Cambria"/>
      <family val="1"/>
      <scheme val="major"/>
    </font>
    <font>
      <sz val="12"/>
      <color indexed="8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sz val="12"/>
      <name val="Cambria"/>
      <family val="1"/>
      <scheme val="major"/>
    </font>
    <font>
      <b/>
      <sz val="13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b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5" fillId="3" borderId="2" applyNumberFormat="0" applyAlignment="0" applyProtection="0"/>
    <xf numFmtId="0" fontId="1" fillId="4" borderId="0" applyNumberFormat="0" applyBorder="0" applyAlignment="0" applyProtection="0"/>
    <xf numFmtId="0" fontId="21" fillId="5" borderId="0" applyNumberFormat="0" applyBorder="0" applyAlignment="0" applyProtection="0"/>
  </cellStyleXfs>
  <cellXfs count="164">
    <xf numFmtId="0" fontId="0" fillId="0" borderId="0" xfId="0"/>
    <xf numFmtId="0" fontId="0" fillId="0" borderId="0" xfId="0"/>
    <xf numFmtId="0" fontId="10" fillId="0" borderId="8" xfId="0" applyNumberFormat="1" applyFont="1" applyFill="1" applyBorder="1" applyAlignment="1" applyProtection="1">
      <alignment horizontal="center" vertical="center" wrapText="1"/>
    </xf>
    <xf numFmtId="0" fontId="9" fillId="0" borderId="8" xfId="0" applyNumberFormat="1" applyFont="1" applyFill="1" applyBorder="1" applyAlignment="1" applyProtection="1">
      <alignment horizontal="center" vertical="center"/>
    </xf>
    <xf numFmtId="0" fontId="8" fillId="0" borderId="8" xfId="0" applyNumberFormat="1" applyFont="1" applyFill="1" applyBorder="1" applyAlignment="1" applyProtection="1">
      <alignment horizontal="left" vertical="center" wrapText="1"/>
    </xf>
    <xf numFmtId="14" fontId="8" fillId="0" borderId="8" xfId="0" applyNumberFormat="1" applyFont="1" applyFill="1" applyBorder="1" applyAlignment="1" applyProtection="1">
      <alignment horizontal="center" vertical="center"/>
    </xf>
    <xf numFmtId="14" fontId="9" fillId="0" borderId="8" xfId="0" applyNumberFormat="1" applyFont="1" applyFill="1" applyBorder="1" applyAlignment="1" applyProtection="1">
      <alignment horizontal="center" vertical="center"/>
    </xf>
    <xf numFmtId="0" fontId="8" fillId="0" borderId="9" xfId="0" applyNumberFormat="1" applyFont="1" applyFill="1" applyBorder="1" applyAlignment="1" applyProtection="1">
      <alignment horizontal="left" vertical="center" wrapText="1"/>
    </xf>
    <xf numFmtId="1" fontId="8" fillId="0" borderId="4" xfId="0" applyNumberFormat="1" applyFont="1" applyFill="1" applyBorder="1" applyAlignment="1" applyProtection="1">
      <alignment horizontal="center" vertical="center"/>
    </xf>
    <xf numFmtId="0" fontId="0" fillId="0" borderId="4" xfId="0" applyBorder="1" applyAlignment="1">
      <alignment horizontal="center" vertical="center"/>
    </xf>
    <xf numFmtId="1" fontId="9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0" fillId="0" borderId="11" xfId="0" applyNumberFormat="1" applyFont="1" applyFill="1" applyBorder="1" applyAlignment="1" applyProtection="1">
      <alignment horizontal="center" vertical="center" wrapText="1"/>
    </xf>
    <xf numFmtId="0" fontId="10" fillId="0" borderId="12" xfId="0" applyNumberFormat="1" applyFont="1" applyFill="1" applyBorder="1" applyAlignment="1" applyProtection="1">
      <alignment horizontal="center" vertical="center" wrapText="1"/>
    </xf>
    <xf numFmtId="0" fontId="10" fillId="0" borderId="13" xfId="0" applyNumberFormat="1" applyFont="1" applyFill="1" applyBorder="1" applyAlignment="1" applyProtection="1">
      <alignment horizontal="center" vertical="center" wrapText="1"/>
    </xf>
    <xf numFmtId="0" fontId="5" fillId="3" borderId="2" xfId="4" applyNumberFormat="1" applyAlignment="1" applyProtection="1">
      <alignment horizontal="left" vertical="center" wrapText="1"/>
    </xf>
    <xf numFmtId="0" fontId="4" fillId="2" borderId="9" xfId="3" applyNumberFormat="1" applyBorder="1" applyAlignment="1" applyProtection="1">
      <alignment horizontal="left" vertical="center" wrapText="1"/>
    </xf>
    <xf numFmtId="0" fontId="3" fillId="0" borderId="9" xfId="2" applyNumberFormat="1" applyFill="1" applyBorder="1" applyAlignment="1" applyProtection="1">
      <alignment horizontal="left" vertical="center" wrapText="1"/>
    </xf>
    <xf numFmtId="0" fontId="2" fillId="0" borderId="1" xfId="1" applyNumberFormat="1" applyFill="1" applyAlignment="1" applyProtection="1">
      <alignment horizontal="left" vertical="center" wrapText="1"/>
    </xf>
    <xf numFmtId="0" fontId="9" fillId="0" borderId="9" xfId="0" applyNumberFormat="1" applyFont="1" applyFill="1" applyBorder="1" applyAlignment="1" applyProtection="1">
      <alignment horizontal="center" vertical="center"/>
    </xf>
    <xf numFmtId="1" fontId="9" fillId="0" borderId="17" xfId="0" applyNumberFormat="1" applyFont="1" applyFill="1" applyBorder="1" applyAlignment="1" applyProtection="1">
      <alignment horizontal="center" vertical="center"/>
    </xf>
    <xf numFmtId="0" fontId="1" fillId="4" borderId="18" xfId="5" applyNumberFormat="1" applyBorder="1" applyAlignment="1" applyProtection="1">
      <alignment horizontal="left" vertical="center" wrapText="1"/>
    </xf>
    <xf numFmtId="0" fontId="8" fillId="0" borderId="12" xfId="0" applyNumberFormat="1" applyFont="1" applyFill="1" applyBorder="1" applyAlignment="1" applyProtection="1">
      <alignment horizontal="left" vertical="center" wrapText="1"/>
    </xf>
    <xf numFmtId="0" fontId="8" fillId="0" borderId="10" xfId="0" applyNumberFormat="1" applyFont="1" applyFill="1" applyBorder="1" applyAlignment="1" applyProtection="1">
      <alignment horizontal="left" vertical="center" wrapText="1"/>
    </xf>
    <xf numFmtId="1" fontId="8" fillId="0" borderId="17" xfId="0" applyNumberFormat="1" applyFont="1" applyFill="1" applyBorder="1" applyAlignment="1" applyProtection="1">
      <alignment horizontal="center" vertical="center"/>
    </xf>
    <xf numFmtId="0" fontId="8" fillId="0" borderId="19" xfId="0" applyNumberFormat="1" applyFont="1" applyFill="1" applyBorder="1" applyAlignment="1" applyProtection="1">
      <alignment horizontal="left" vertical="center" wrapText="1"/>
    </xf>
    <xf numFmtId="0" fontId="8" fillId="0" borderId="0" xfId="0" applyNumberFormat="1" applyFont="1" applyFill="1" applyBorder="1" applyAlignment="1" applyProtection="1">
      <alignment horizontal="left" vertical="center" wrapText="1"/>
    </xf>
    <xf numFmtId="0" fontId="8" fillId="0" borderId="20" xfId="0" applyNumberFormat="1" applyFont="1" applyFill="1" applyBorder="1" applyAlignment="1" applyProtection="1">
      <alignment horizontal="left" vertical="center" wrapText="1"/>
    </xf>
    <xf numFmtId="0" fontId="12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17" fillId="0" borderId="17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14" fontId="17" fillId="0" borderId="3" xfId="0" applyNumberFormat="1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7" fillId="0" borderId="26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6" fillId="0" borderId="0" xfId="0" applyFont="1" applyAlignment="1">
      <alignment wrapText="1"/>
    </xf>
    <xf numFmtId="0" fontId="12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wrapText="1"/>
    </xf>
    <xf numFmtId="0" fontId="12" fillId="0" borderId="17" xfId="0" applyFont="1" applyBorder="1" applyAlignment="1">
      <alignment wrapText="1"/>
    </xf>
    <xf numFmtId="0" fontId="17" fillId="0" borderId="3" xfId="0" applyFont="1" applyBorder="1" applyAlignment="1">
      <alignment wrapText="1"/>
    </xf>
    <xf numFmtId="0" fontId="12" fillId="0" borderId="26" xfId="0" applyFont="1" applyBorder="1" applyAlignment="1">
      <alignment wrapText="1"/>
    </xf>
    <xf numFmtId="0" fontId="17" fillId="0" borderId="27" xfId="0" applyFont="1" applyBorder="1" applyAlignment="1">
      <alignment wrapText="1"/>
    </xf>
    <xf numFmtId="0" fontId="17" fillId="0" borderId="28" xfId="0" applyFont="1" applyBorder="1" applyAlignment="1">
      <alignment wrapText="1"/>
    </xf>
    <xf numFmtId="0" fontId="6" fillId="0" borderId="0" xfId="0" applyFont="1"/>
    <xf numFmtId="0" fontId="0" fillId="0" borderId="0" xfId="0"/>
    <xf numFmtId="0" fontId="17" fillId="0" borderId="4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0" fontId="0" fillId="0" borderId="0" xfId="0"/>
    <xf numFmtId="0" fontId="12" fillId="0" borderId="4" xfId="0" applyFont="1" applyFill="1" applyBorder="1" applyAlignment="1">
      <alignment horizontal="center" vertical="center" wrapText="1"/>
    </xf>
    <xf numFmtId="0" fontId="12" fillId="0" borderId="13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2" fillId="0" borderId="4" xfId="0" applyFont="1" applyBorder="1"/>
    <xf numFmtId="0" fontId="23" fillId="0" borderId="8" xfId="0" applyFont="1" applyFill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/>
    </xf>
    <xf numFmtId="0" fontId="21" fillId="5" borderId="4" xfId="6" applyBorder="1" applyAlignment="1">
      <alignment horizontal="center" vertical="center" wrapText="1"/>
    </xf>
    <xf numFmtId="0" fontId="21" fillId="5" borderId="4" xfId="6" applyBorder="1" applyAlignment="1">
      <alignment horizontal="center" vertical="center"/>
    </xf>
    <xf numFmtId="0" fontId="4" fillId="2" borderId="4" xfId="3" applyBorder="1" applyAlignment="1">
      <alignment horizontal="center" vertical="center" wrapText="1"/>
    </xf>
    <xf numFmtId="0" fontId="4" fillId="2" borderId="4" xfId="3" applyBorder="1" applyAlignment="1">
      <alignment horizontal="center" vertical="center"/>
    </xf>
    <xf numFmtId="0" fontId="24" fillId="0" borderId="8" xfId="0" applyFont="1" applyFill="1" applyBorder="1" applyAlignment="1">
      <alignment horizontal="center" vertical="center"/>
    </xf>
    <xf numFmtId="0" fontId="24" fillId="0" borderId="8" xfId="0" applyFont="1" applyFill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/>
    </xf>
    <xf numFmtId="14" fontId="24" fillId="0" borderId="8" xfId="0" applyNumberFormat="1" applyFont="1" applyFill="1" applyBorder="1" applyAlignment="1">
      <alignment horizontal="center" vertical="center" wrapText="1"/>
    </xf>
    <xf numFmtId="14" fontId="24" fillId="0" borderId="8" xfId="0" applyNumberFormat="1" applyFont="1" applyFill="1" applyBorder="1" applyAlignment="1" applyProtection="1">
      <alignment horizontal="center" vertical="center" wrapText="1"/>
    </xf>
    <xf numFmtId="14" fontId="16" fillId="0" borderId="8" xfId="0" applyNumberFormat="1" applyFont="1" applyFill="1" applyBorder="1" applyAlignment="1" applyProtection="1">
      <alignment horizontal="center" vertical="center" wrapText="1"/>
    </xf>
    <xf numFmtId="0" fontId="16" fillId="0" borderId="8" xfId="0" applyNumberFormat="1" applyFont="1" applyFill="1" applyBorder="1" applyAlignment="1" applyProtection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0" fontId="18" fillId="6" borderId="13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7" fillId="0" borderId="0" xfId="0" applyFont="1"/>
    <xf numFmtId="0" fontId="17" fillId="0" borderId="30" xfId="0" applyFont="1" applyBorder="1"/>
    <xf numFmtId="8" fontId="17" fillId="0" borderId="30" xfId="0" applyNumberFormat="1" applyFont="1" applyBorder="1"/>
    <xf numFmtId="0" fontId="12" fillId="0" borderId="30" xfId="0" applyFont="1" applyBorder="1"/>
    <xf numFmtId="0" fontId="17" fillId="0" borderId="33" xfId="0" applyFont="1" applyBorder="1"/>
    <xf numFmtId="8" fontId="17" fillId="0" borderId="34" xfId="0" applyNumberFormat="1" applyFont="1" applyBorder="1"/>
    <xf numFmtId="0" fontId="17" fillId="0" borderId="34" xfId="0" applyFont="1" applyBorder="1"/>
    <xf numFmtId="0" fontId="25" fillId="11" borderId="33" xfId="0" applyFont="1" applyFill="1" applyBorder="1"/>
    <xf numFmtId="0" fontId="17" fillId="8" borderId="33" xfId="0" applyFont="1" applyFill="1" applyBorder="1"/>
    <xf numFmtId="0" fontId="25" fillId="9" borderId="35" xfId="0" applyFont="1" applyFill="1" applyBorder="1"/>
    <xf numFmtId="8" fontId="17" fillId="11" borderId="34" xfId="0" applyNumberFormat="1" applyFont="1" applyFill="1" applyBorder="1"/>
    <xf numFmtId="8" fontId="17" fillId="8" borderId="34" xfId="0" applyNumberFormat="1" applyFont="1" applyFill="1" applyBorder="1"/>
    <xf numFmtId="8" fontId="17" fillId="10" borderId="36" xfId="0" applyNumberFormat="1" applyFont="1" applyFill="1" applyBorder="1"/>
    <xf numFmtId="1" fontId="17" fillId="0" borderId="34" xfId="0" applyNumberFormat="1" applyFont="1" applyBorder="1"/>
    <xf numFmtId="0" fontId="0" fillId="0" borderId="30" xfId="0" applyBorder="1"/>
    <xf numFmtId="9" fontId="17" fillId="0" borderId="30" xfId="0" applyNumberFormat="1" applyFont="1" applyBorder="1"/>
    <xf numFmtId="0" fontId="17" fillId="0" borderId="0" xfId="0" applyFont="1" applyFill="1" applyBorder="1"/>
    <xf numFmtId="6" fontId="17" fillId="0" borderId="30" xfId="0" applyNumberFormat="1" applyFont="1" applyBorder="1"/>
    <xf numFmtId="6" fontId="0" fillId="0" borderId="0" xfId="0" applyNumberFormat="1"/>
    <xf numFmtId="8" fontId="0" fillId="0" borderId="30" xfId="0" applyNumberFormat="1" applyBorder="1"/>
    <xf numFmtId="0" fontId="12" fillId="0" borderId="30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 wrapText="1"/>
    </xf>
    <xf numFmtId="0" fontId="22" fillId="0" borderId="30" xfId="0" applyFont="1" applyBorder="1" applyAlignment="1">
      <alignment horizontal="center" wrapText="1"/>
    </xf>
    <xf numFmtId="0" fontId="13" fillId="0" borderId="0" xfId="0" applyFont="1"/>
    <xf numFmtId="0" fontId="12" fillId="0" borderId="0" xfId="0" applyFont="1" applyAlignment="1">
      <alignment horizontal="center" vertical="center" wrapText="1"/>
    </xf>
    <xf numFmtId="0" fontId="12" fillId="0" borderId="37" xfId="0" applyFont="1" applyBorder="1" applyAlignment="1">
      <alignment horizontal="center" vertical="center" wrapText="1"/>
    </xf>
    <xf numFmtId="0" fontId="17" fillId="0" borderId="38" xfId="0" applyFont="1" applyBorder="1" applyAlignment="1">
      <alignment horizontal="center" vertical="center" wrapText="1"/>
    </xf>
    <xf numFmtId="0" fontId="17" fillId="0" borderId="39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7" fillId="0" borderId="40" xfId="0" applyFont="1" applyBorder="1" applyAlignment="1">
      <alignment horizontal="center" vertical="center" wrapText="1"/>
    </xf>
    <xf numFmtId="0" fontId="17" fillId="0" borderId="41" xfId="0" applyFont="1" applyBorder="1" applyAlignment="1">
      <alignment horizontal="center" vertical="center" wrapText="1"/>
    </xf>
    <xf numFmtId="0" fontId="17" fillId="0" borderId="42" xfId="0" applyFont="1" applyBorder="1" applyAlignment="1">
      <alignment horizontal="center" vertical="center" wrapText="1"/>
    </xf>
    <xf numFmtId="0" fontId="17" fillId="0" borderId="43" xfId="0" applyFont="1" applyBorder="1" applyAlignment="1">
      <alignment horizontal="center" vertical="center" wrapText="1"/>
    </xf>
    <xf numFmtId="0" fontId="17" fillId="0" borderId="44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23" fillId="0" borderId="13" xfId="0" applyFont="1" applyBorder="1" applyAlignment="1">
      <alignment horizontal="center" wrapText="1"/>
    </xf>
    <xf numFmtId="0" fontId="13" fillId="0" borderId="0" xfId="0" applyFont="1" applyAlignment="1">
      <alignment wrapText="1"/>
    </xf>
    <xf numFmtId="0" fontId="26" fillId="0" borderId="13" xfId="0" applyFont="1" applyBorder="1" applyAlignment="1">
      <alignment horizontal="center" vertical="center" wrapText="1"/>
    </xf>
    <xf numFmtId="0" fontId="17" fillId="0" borderId="0" xfId="0" applyFont="1" applyAlignment="1"/>
    <xf numFmtId="0" fontId="27" fillId="0" borderId="0" xfId="0" applyFont="1" applyBorder="1" applyAlignment="1">
      <alignment horizontal="center"/>
    </xf>
    <xf numFmtId="0" fontId="27" fillId="0" borderId="30" xfId="0" applyFont="1" applyBorder="1" applyAlignment="1">
      <alignment horizontal="center" vertical="center"/>
    </xf>
    <xf numFmtId="164" fontId="17" fillId="0" borderId="30" xfId="0" applyNumberFormat="1" applyFont="1" applyBorder="1"/>
    <xf numFmtId="0" fontId="11" fillId="0" borderId="46" xfId="0" applyNumberFormat="1" applyFont="1" applyFill="1" applyBorder="1" applyAlignment="1" applyProtection="1">
      <alignment horizontal="center" vertical="center" wrapText="1"/>
    </xf>
    <xf numFmtId="0" fontId="11" fillId="0" borderId="45" xfId="0" applyNumberFormat="1" applyFont="1" applyFill="1" applyBorder="1" applyAlignment="1" applyProtection="1">
      <alignment horizontal="center" vertical="center" wrapText="1"/>
    </xf>
    <xf numFmtId="0" fontId="11" fillId="0" borderId="47" xfId="0" applyNumberFormat="1" applyFont="1" applyFill="1" applyBorder="1" applyAlignment="1" applyProtection="1">
      <alignment horizontal="center" vertical="center" wrapText="1"/>
    </xf>
    <xf numFmtId="0" fontId="11" fillId="0" borderId="14" xfId="0" applyNumberFormat="1" applyFont="1" applyFill="1" applyBorder="1" applyAlignment="1" applyProtection="1">
      <alignment horizontal="center" vertical="center" wrapText="1"/>
    </xf>
    <xf numFmtId="0" fontId="11" fillId="0" borderId="15" xfId="0" applyNumberFormat="1" applyFont="1" applyFill="1" applyBorder="1" applyAlignment="1" applyProtection="1">
      <alignment horizontal="center" vertical="center" wrapText="1"/>
    </xf>
    <xf numFmtId="0" fontId="11" fillId="0" borderId="16" xfId="0" applyNumberFormat="1" applyFont="1" applyFill="1" applyBorder="1" applyAlignment="1" applyProtection="1">
      <alignment horizontal="center" vertical="center" wrapText="1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wrapText="1"/>
    </xf>
    <xf numFmtId="0" fontId="15" fillId="0" borderId="21" xfId="0" applyNumberFormat="1" applyFont="1" applyFill="1" applyBorder="1" applyAlignment="1" applyProtection="1">
      <alignment horizontal="center" vertical="center" wrapText="1"/>
    </xf>
    <xf numFmtId="0" fontId="15" fillId="0" borderId="22" xfId="0" applyNumberFormat="1" applyFont="1" applyFill="1" applyBorder="1" applyAlignment="1" applyProtection="1">
      <alignment horizontal="center" vertical="center" wrapText="1"/>
    </xf>
    <xf numFmtId="0" fontId="15" fillId="0" borderId="23" xfId="0" applyNumberFormat="1" applyFont="1" applyFill="1" applyBorder="1" applyAlignment="1" applyProtection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5" fillId="0" borderId="5" xfId="0" applyNumberFormat="1" applyFont="1" applyFill="1" applyBorder="1" applyAlignment="1" applyProtection="1">
      <alignment horizontal="center" vertical="center" wrapText="1"/>
    </xf>
    <xf numFmtId="0" fontId="15" fillId="0" borderId="6" xfId="0" applyNumberFormat="1" applyFont="1" applyFill="1" applyBorder="1" applyAlignment="1" applyProtection="1">
      <alignment horizontal="center" vertical="center" wrapText="1"/>
    </xf>
    <xf numFmtId="0" fontId="15" fillId="0" borderId="7" xfId="0" applyNumberFormat="1" applyFont="1" applyFill="1" applyBorder="1" applyAlignment="1" applyProtection="1">
      <alignment horizontal="center" vertical="center" wrapText="1"/>
    </xf>
    <xf numFmtId="0" fontId="15" fillId="0" borderId="30" xfId="0" applyNumberFormat="1" applyFont="1" applyFill="1" applyBorder="1" applyAlignment="1" applyProtection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6" fillId="0" borderId="4" xfId="0" applyNumberFormat="1" applyFont="1" applyFill="1" applyBorder="1" applyAlignment="1" applyProtection="1">
      <alignment horizontal="center" vertical="center" wrapText="1"/>
    </xf>
    <xf numFmtId="0" fontId="25" fillId="7" borderId="31" xfId="0" applyFont="1" applyFill="1" applyBorder="1" applyAlignment="1">
      <alignment horizontal="center" vertical="center"/>
    </xf>
    <xf numFmtId="0" fontId="25" fillId="7" borderId="32" xfId="0" applyFont="1" applyFill="1" applyBorder="1" applyAlignment="1">
      <alignment horizontal="center" vertical="center"/>
    </xf>
    <xf numFmtId="0" fontId="27" fillId="0" borderId="14" xfId="0" applyFont="1" applyBorder="1" applyAlignment="1">
      <alignment horizontal="center"/>
    </xf>
    <xf numFmtId="0" fontId="27" fillId="0" borderId="22" xfId="0" applyFont="1" applyBorder="1" applyAlignment="1">
      <alignment horizontal="center"/>
    </xf>
    <xf numFmtId="0" fontId="27" fillId="0" borderId="15" xfId="0" applyFont="1" applyBorder="1" applyAlignment="1">
      <alignment horizontal="center"/>
    </xf>
    <xf numFmtId="0" fontId="27" fillId="0" borderId="16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6" xfId="0" applyFont="1" applyBorder="1" applyAlignment="1">
      <alignment horizontal="center"/>
    </xf>
  </cellXfs>
  <cellStyles count="7">
    <cellStyle name="40% - Accent3" xfId="5" builtinId="39"/>
    <cellStyle name="Bad" xfId="3" builtinId="27"/>
    <cellStyle name="Check Cell" xfId="4" builtinId="23"/>
    <cellStyle name="Good" xfId="6" builtinId="26"/>
    <cellStyle name="Heading 1" xfId="1" builtinId="16"/>
    <cellStyle name="Heading 4" xfId="2" builtinId="19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alignment horizontal="general" vertical="bottom" textRotation="0" wrapText="1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alignment horizontal="general" vertical="bottom" textRotation="0" wrapText="1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alignment horizontal="general" vertical="bottom" textRotation="0" wrapText="1" indent="0" relativeIndent="0" justifyLastLine="0" shrinkToFit="0" mergeCell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scheme val="major"/>
      </font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scheme val="major"/>
      </font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solidFill>
                  <a:schemeClr val="bg1"/>
                </a:solidFill>
                <a:effectLst>
                  <a:outerShdw blurRad="50800" dist="38100" algn="tr" rotWithShape="0">
                    <a:prstClr val="black">
                      <a:alpha val="40000"/>
                    </a:prstClr>
                  </a:outerShdw>
                </a:effectLst>
              </a:rPr>
              <a:t>Quareterly Sales by Product</a:t>
            </a:r>
            <a:endParaRPr lang="en-US">
              <a:solidFill>
                <a:schemeClr val="bg1"/>
              </a:solidFill>
            </a:endParaRP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'Que. 10'!$B$2</c:f>
              <c:strCache>
                <c:ptCount val="1"/>
                <c:pt idx="0">
                  <c:v>Sales Q1</c:v>
                </c:pt>
              </c:strCache>
            </c:strRef>
          </c:tx>
          <c:cat>
            <c:strRef>
              <c:f>'Que. 10'!$A$3:$A$7</c:f>
              <c:strCache>
                <c:ptCount val="5"/>
                <c:pt idx="0">
                  <c:v>Laptop</c:v>
                </c:pt>
                <c:pt idx="1">
                  <c:v>SmartPhone</c:v>
                </c:pt>
                <c:pt idx="2">
                  <c:v>Tablet</c:v>
                </c:pt>
                <c:pt idx="3">
                  <c:v>Desktop</c:v>
                </c:pt>
                <c:pt idx="4">
                  <c:v>HeadPhones</c:v>
                </c:pt>
              </c:strCache>
            </c:strRef>
          </c:cat>
          <c:val>
            <c:numRef>
              <c:f>'Que. 10'!$B$3:$B$7</c:f>
              <c:numCache>
                <c:formatCode>General</c:formatCode>
                <c:ptCount val="5"/>
                <c:pt idx="0">
                  <c:v>4400</c:v>
                </c:pt>
                <c:pt idx="1">
                  <c:v>33000</c:v>
                </c:pt>
                <c:pt idx="2">
                  <c:v>13230</c:v>
                </c:pt>
                <c:pt idx="3">
                  <c:v>3300</c:v>
                </c:pt>
                <c:pt idx="4">
                  <c:v>5500</c:v>
                </c:pt>
              </c:numCache>
            </c:numRef>
          </c:val>
        </c:ser>
        <c:ser>
          <c:idx val="1"/>
          <c:order val="1"/>
          <c:tx>
            <c:strRef>
              <c:f>'Que. 10'!$C$2</c:f>
              <c:strCache>
                <c:ptCount val="1"/>
                <c:pt idx="0">
                  <c:v>Sales Q2</c:v>
                </c:pt>
              </c:strCache>
            </c:strRef>
          </c:tx>
          <c:cat>
            <c:strRef>
              <c:f>'Que. 10'!$A$3:$A$7</c:f>
              <c:strCache>
                <c:ptCount val="5"/>
                <c:pt idx="0">
                  <c:v>Laptop</c:v>
                </c:pt>
                <c:pt idx="1">
                  <c:v>SmartPhone</c:v>
                </c:pt>
                <c:pt idx="2">
                  <c:v>Tablet</c:v>
                </c:pt>
                <c:pt idx="3">
                  <c:v>Desktop</c:v>
                </c:pt>
                <c:pt idx="4">
                  <c:v>HeadPhones</c:v>
                </c:pt>
              </c:strCache>
            </c:strRef>
          </c:cat>
          <c:val>
            <c:numRef>
              <c:f>'Que. 10'!$C$3:$C$7</c:f>
              <c:numCache>
                <c:formatCode>General</c:formatCode>
                <c:ptCount val="5"/>
                <c:pt idx="0">
                  <c:v>22900</c:v>
                </c:pt>
                <c:pt idx="1">
                  <c:v>34000</c:v>
                </c:pt>
                <c:pt idx="2">
                  <c:v>5560</c:v>
                </c:pt>
                <c:pt idx="3">
                  <c:v>80000</c:v>
                </c:pt>
                <c:pt idx="4">
                  <c:v>7500</c:v>
                </c:pt>
              </c:numCache>
            </c:numRef>
          </c:val>
        </c:ser>
        <c:ser>
          <c:idx val="2"/>
          <c:order val="2"/>
          <c:tx>
            <c:strRef>
              <c:f>'Que. 10'!$D$2</c:f>
              <c:strCache>
                <c:ptCount val="1"/>
                <c:pt idx="0">
                  <c:v>Sales Q3</c:v>
                </c:pt>
              </c:strCache>
            </c:strRef>
          </c:tx>
          <c:cat>
            <c:strRef>
              <c:f>'Que. 10'!$A$3:$A$7</c:f>
              <c:strCache>
                <c:ptCount val="5"/>
                <c:pt idx="0">
                  <c:v>Laptop</c:v>
                </c:pt>
                <c:pt idx="1">
                  <c:v>SmartPhone</c:v>
                </c:pt>
                <c:pt idx="2">
                  <c:v>Tablet</c:v>
                </c:pt>
                <c:pt idx="3">
                  <c:v>Desktop</c:v>
                </c:pt>
                <c:pt idx="4">
                  <c:v>HeadPhones</c:v>
                </c:pt>
              </c:strCache>
            </c:strRef>
          </c:cat>
          <c:val>
            <c:numRef>
              <c:f>'Que. 10'!$D$3:$D$7</c:f>
              <c:numCache>
                <c:formatCode>General</c:formatCode>
                <c:ptCount val="5"/>
                <c:pt idx="0">
                  <c:v>65000</c:v>
                </c:pt>
                <c:pt idx="1">
                  <c:v>34000</c:v>
                </c:pt>
                <c:pt idx="2">
                  <c:v>44000</c:v>
                </c:pt>
                <c:pt idx="3">
                  <c:v>55884</c:v>
                </c:pt>
                <c:pt idx="4">
                  <c:v>99000</c:v>
                </c:pt>
              </c:numCache>
            </c:numRef>
          </c:val>
        </c:ser>
        <c:ser>
          <c:idx val="3"/>
          <c:order val="3"/>
          <c:tx>
            <c:strRef>
              <c:f>'Que. 10'!$E$2</c:f>
              <c:strCache>
                <c:ptCount val="1"/>
                <c:pt idx="0">
                  <c:v>Sales Q4</c:v>
                </c:pt>
              </c:strCache>
            </c:strRef>
          </c:tx>
          <c:cat>
            <c:strRef>
              <c:f>'Que. 10'!$A$3:$A$7</c:f>
              <c:strCache>
                <c:ptCount val="5"/>
                <c:pt idx="0">
                  <c:v>Laptop</c:v>
                </c:pt>
                <c:pt idx="1">
                  <c:v>SmartPhone</c:v>
                </c:pt>
                <c:pt idx="2">
                  <c:v>Tablet</c:v>
                </c:pt>
                <c:pt idx="3">
                  <c:v>Desktop</c:v>
                </c:pt>
                <c:pt idx="4">
                  <c:v>HeadPhones</c:v>
                </c:pt>
              </c:strCache>
            </c:strRef>
          </c:cat>
          <c:val>
            <c:numRef>
              <c:f>'Que. 10'!$E$3:$E$7</c:f>
              <c:numCache>
                <c:formatCode>General</c:formatCode>
                <c:ptCount val="5"/>
                <c:pt idx="0">
                  <c:v>88000</c:v>
                </c:pt>
                <c:pt idx="1">
                  <c:v>99000</c:v>
                </c:pt>
                <c:pt idx="2">
                  <c:v>22000</c:v>
                </c:pt>
                <c:pt idx="3">
                  <c:v>44000</c:v>
                </c:pt>
                <c:pt idx="4">
                  <c:v>66000</c:v>
                </c:pt>
              </c:numCache>
            </c:numRef>
          </c:val>
        </c:ser>
        <c:gapWidth val="75"/>
        <c:overlap val="-25"/>
        <c:axId val="108161280"/>
        <c:axId val="108167168"/>
      </c:barChart>
      <c:catAx>
        <c:axId val="108161280"/>
        <c:scaling>
          <c:orientation val="minMax"/>
        </c:scaling>
        <c:axPos val="b"/>
        <c:majorTickMark val="none"/>
        <c:tickLblPos val="nextTo"/>
        <c:crossAx val="108167168"/>
        <c:crosses val="autoZero"/>
        <c:auto val="1"/>
        <c:lblAlgn val="ctr"/>
        <c:lblOffset val="100"/>
      </c:catAx>
      <c:valAx>
        <c:axId val="10816716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8161280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IN" sz="18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Quarterly Sales</a:t>
            </a:r>
            <a:endParaRPr lang="en-US">
              <a:solidFill>
                <a:schemeClr val="dk1"/>
              </a:solidFill>
              <a:latin typeface="+mn-lt"/>
              <a:ea typeface="+mn-ea"/>
              <a:cs typeface="+mn-cs"/>
            </a:endParaRPr>
          </a:p>
        </c:rich>
      </c:tx>
      <c:layout/>
      <c:spPr>
        <a:gradFill rotWithShape="1">
          <a:gsLst>
            <a:gs pos="0">
              <a:schemeClr val="accent2">
                <a:tint val="50000"/>
                <a:satMod val="300000"/>
              </a:schemeClr>
            </a:gs>
            <a:gs pos="35000">
              <a:schemeClr val="accent2">
                <a:tint val="37000"/>
                <a:satMod val="300000"/>
              </a:schemeClr>
            </a:gs>
            <a:gs pos="100000">
              <a:schemeClr val="accent2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2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title>
    <c:plotArea>
      <c:layout/>
      <c:barChart>
        <c:barDir val="bar"/>
        <c:grouping val="clustered"/>
        <c:ser>
          <c:idx val="0"/>
          <c:order val="0"/>
          <c:tx>
            <c:strRef>
              <c:f>'Que. 11'!$B$2</c:f>
              <c:strCache>
                <c:ptCount val="1"/>
                <c:pt idx="0">
                  <c:v>Sales Q1</c:v>
                </c:pt>
              </c:strCache>
            </c:strRef>
          </c:tx>
          <c:cat>
            <c:strRef>
              <c:f>'Que. 11'!$A$3:$A$7</c:f>
              <c:strCache>
                <c:ptCount val="5"/>
                <c:pt idx="0">
                  <c:v>Laptop</c:v>
                </c:pt>
                <c:pt idx="1">
                  <c:v>SmartPhone</c:v>
                </c:pt>
                <c:pt idx="2">
                  <c:v>Tablet</c:v>
                </c:pt>
                <c:pt idx="3">
                  <c:v>Desktop</c:v>
                </c:pt>
                <c:pt idx="4">
                  <c:v>HeadPhones</c:v>
                </c:pt>
              </c:strCache>
            </c:strRef>
          </c:cat>
          <c:val>
            <c:numRef>
              <c:f>'Que. 11'!$B$3:$B$7</c:f>
              <c:numCache>
                <c:formatCode>General</c:formatCode>
                <c:ptCount val="5"/>
                <c:pt idx="0">
                  <c:v>4400</c:v>
                </c:pt>
                <c:pt idx="1">
                  <c:v>33000</c:v>
                </c:pt>
                <c:pt idx="2">
                  <c:v>13230</c:v>
                </c:pt>
                <c:pt idx="3">
                  <c:v>3300</c:v>
                </c:pt>
                <c:pt idx="4">
                  <c:v>5500</c:v>
                </c:pt>
              </c:numCache>
            </c:numRef>
          </c:val>
        </c:ser>
        <c:ser>
          <c:idx val="1"/>
          <c:order val="1"/>
          <c:tx>
            <c:strRef>
              <c:f>'Que. 11'!$C$2</c:f>
              <c:strCache>
                <c:ptCount val="1"/>
                <c:pt idx="0">
                  <c:v>Sales Q2</c:v>
                </c:pt>
              </c:strCache>
            </c:strRef>
          </c:tx>
          <c:cat>
            <c:strRef>
              <c:f>'Que. 11'!$A$3:$A$7</c:f>
              <c:strCache>
                <c:ptCount val="5"/>
                <c:pt idx="0">
                  <c:v>Laptop</c:v>
                </c:pt>
                <c:pt idx="1">
                  <c:v>SmartPhone</c:v>
                </c:pt>
                <c:pt idx="2">
                  <c:v>Tablet</c:v>
                </c:pt>
                <c:pt idx="3">
                  <c:v>Desktop</c:v>
                </c:pt>
                <c:pt idx="4">
                  <c:v>HeadPhones</c:v>
                </c:pt>
              </c:strCache>
            </c:strRef>
          </c:cat>
          <c:val>
            <c:numRef>
              <c:f>'Que. 11'!$C$3:$C$7</c:f>
              <c:numCache>
                <c:formatCode>General</c:formatCode>
                <c:ptCount val="5"/>
                <c:pt idx="0">
                  <c:v>22900</c:v>
                </c:pt>
                <c:pt idx="1">
                  <c:v>34000</c:v>
                </c:pt>
                <c:pt idx="2">
                  <c:v>5600</c:v>
                </c:pt>
                <c:pt idx="3">
                  <c:v>80000</c:v>
                </c:pt>
                <c:pt idx="4">
                  <c:v>7500</c:v>
                </c:pt>
              </c:numCache>
            </c:numRef>
          </c:val>
        </c:ser>
        <c:ser>
          <c:idx val="2"/>
          <c:order val="2"/>
          <c:tx>
            <c:strRef>
              <c:f>'Que. 11'!$D$2</c:f>
              <c:strCache>
                <c:ptCount val="1"/>
                <c:pt idx="0">
                  <c:v>Sales Q3</c:v>
                </c:pt>
              </c:strCache>
            </c:strRef>
          </c:tx>
          <c:cat>
            <c:strRef>
              <c:f>'Que. 11'!$A$3:$A$7</c:f>
              <c:strCache>
                <c:ptCount val="5"/>
                <c:pt idx="0">
                  <c:v>Laptop</c:v>
                </c:pt>
                <c:pt idx="1">
                  <c:v>SmartPhone</c:v>
                </c:pt>
                <c:pt idx="2">
                  <c:v>Tablet</c:v>
                </c:pt>
                <c:pt idx="3">
                  <c:v>Desktop</c:v>
                </c:pt>
                <c:pt idx="4">
                  <c:v>HeadPhones</c:v>
                </c:pt>
              </c:strCache>
            </c:strRef>
          </c:cat>
          <c:val>
            <c:numRef>
              <c:f>'Que. 11'!$D$3:$D$7</c:f>
              <c:numCache>
                <c:formatCode>General</c:formatCode>
                <c:ptCount val="5"/>
                <c:pt idx="0">
                  <c:v>65000</c:v>
                </c:pt>
                <c:pt idx="1">
                  <c:v>34000</c:v>
                </c:pt>
                <c:pt idx="2">
                  <c:v>45000</c:v>
                </c:pt>
                <c:pt idx="3">
                  <c:v>55884</c:v>
                </c:pt>
                <c:pt idx="4">
                  <c:v>99000</c:v>
                </c:pt>
              </c:numCache>
            </c:numRef>
          </c:val>
        </c:ser>
        <c:ser>
          <c:idx val="3"/>
          <c:order val="3"/>
          <c:tx>
            <c:strRef>
              <c:f>'Que. 11'!$E$2</c:f>
              <c:strCache>
                <c:ptCount val="1"/>
                <c:pt idx="0">
                  <c:v>Sales Q4</c:v>
                </c:pt>
              </c:strCache>
            </c:strRef>
          </c:tx>
          <c:cat>
            <c:strRef>
              <c:f>'Que. 11'!$A$3:$A$7</c:f>
              <c:strCache>
                <c:ptCount val="5"/>
                <c:pt idx="0">
                  <c:v>Laptop</c:v>
                </c:pt>
                <c:pt idx="1">
                  <c:v>SmartPhone</c:v>
                </c:pt>
                <c:pt idx="2">
                  <c:v>Tablet</c:v>
                </c:pt>
                <c:pt idx="3">
                  <c:v>Desktop</c:v>
                </c:pt>
                <c:pt idx="4">
                  <c:v>HeadPhones</c:v>
                </c:pt>
              </c:strCache>
            </c:strRef>
          </c:cat>
          <c:val>
            <c:numRef>
              <c:f>'Que. 11'!$E$3:$E$7</c:f>
              <c:numCache>
                <c:formatCode>General</c:formatCode>
                <c:ptCount val="5"/>
                <c:pt idx="0">
                  <c:v>88000</c:v>
                </c:pt>
                <c:pt idx="1">
                  <c:v>99000</c:v>
                </c:pt>
                <c:pt idx="2">
                  <c:v>22000</c:v>
                </c:pt>
                <c:pt idx="3">
                  <c:v>44000</c:v>
                </c:pt>
                <c:pt idx="4">
                  <c:v>66000</c:v>
                </c:pt>
              </c:numCache>
            </c:numRef>
          </c:val>
        </c:ser>
        <c:axId val="110104576"/>
        <c:axId val="110106112"/>
      </c:barChart>
      <c:catAx>
        <c:axId val="110104576"/>
        <c:scaling>
          <c:orientation val="minMax"/>
        </c:scaling>
        <c:axPos val="l"/>
        <c:majorTickMark val="none"/>
        <c:tickLblPos val="nextTo"/>
        <c:crossAx val="110106112"/>
        <c:crosses val="autoZero"/>
        <c:auto val="1"/>
        <c:lblAlgn val="ctr"/>
        <c:lblOffset val="100"/>
      </c:catAx>
      <c:valAx>
        <c:axId val="110106112"/>
        <c:scaling>
          <c:orientation val="minMax"/>
        </c:scaling>
        <c:axPos val="b"/>
        <c:majorGridlines/>
        <c:numFmt formatCode="General" sourceLinked="1"/>
        <c:majorTickMark val="none"/>
        <c:tickLblPos val="nextTo"/>
        <c:crossAx val="110104576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gradFill rotWithShape="1">
          <a:gsLst>
            <a:gs pos="0">
              <a:schemeClr val="accent2">
                <a:tint val="50000"/>
                <a:satMod val="300000"/>
              </a:schemeClr>
            </a:gs>
            <a:gs pos="35000">
              <a:schemeClr val="accent2">
                <a:tint val="37000"/>
                <a:satMod val="300000"/>
              </a:schemeClr>
            </a:gs>
            <a:gs pos="100000">
              <a:schemeClr val="accent2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2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plotVisOnly val="1"/>
  </c:chart>
  <c:spPr>
    <a:gradFill rotWithShape="1">
      <a:gsLst>
        <a:gs pos="0">
          <a:schemeClr val="accent2">
            <a:tint val="50000"/>
            <a:satMod val="300000"/>
          </a:schemeClr>
        </a:gs>
        <a:gs pos="35000">
          <a:schemeClr val="accent2">
            <a:tint val="37000"/>
            <a:satMod val="300000"/>
          </a:schemeClr>
        </a:gs>
        <a:gs pos="100000">
          <a:schemeClr val="accent2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2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rgbClr val="FF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Quarterly Sales and Profit Trends</a:t>
            </a:r>
          </a:p>
        </c:rich>
      </c:tx>
      <c:layout/>
      <c:spPr>
        <a:noFill/>
        <a:ln>
          <a:noFill/>
        </a:ln>
        <a:effectLst/>
      </c:spPr>
    </c:title>
    <c:plotArea>
      <c:layout/>
      <c:barChart>
        <c:barDir val="col"/>
        <c:grouping val="clustered"/>
        <c:ser>
          <c:idx val="0"/>
          <c:order val="0"/>
          <c:tx>
            <c:strRef>
              <c:f>[1]Sheet12!$A$2</c:f>
              <c:strCache>
                <c:ptCount val="1"/>
                <c:pt idx="0">
                  <c:v>Laptop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[1]Sheet12!$B$1:$I$1</c:f>
              <c:strCache>
                <c:ptCount val="8"/>
                <c:pt idx="0">
                  <c:v>Q1 Sales (₹)</c:v>
                </c:pt>
                <c:pt idx="1">
                  <c:v>Q2 Sales (₹)</c:v>
                </c:pt>
                <c:pt idx="2">
                  <c:v>Q3 Sales (₹)</c:v>
                </c:pt>
                <c:pt idx="3">
                  <c:v>Q4 Sales (₹)</c:v>
                </c:pt>
                <c:pt idx="4">
                  <c:v>Q1 Profit (₹)</c:v>
                </c:pt>
                <c:pt idx="5">
                  <c:v>Q2 Profit (₹)</c:v>
                </c:pt>
                <c:pt idx="6">
                  <c:v>Q3 Profit (₹)</c:v>
                </c:pt>
                <c:pt idx="7">
                  <c:v>Q4 Profit (₹)</c:v>
                </c:pt>
              </c:strCache>
            </c:strRef>
          </c:cat>
          <c:val>
            <c:numRef>
              <c:f>[1]Sheet12!$B$2:$I$2</c:f>
              <c:numCache>
                <c:formatCode>General</c:formatCode>
                <c:ptCount val="8"/>
                <c:pt idx="0">
                  <c:v>12000</c:v>
                </c:pt>
                <c:pt idx="1">
                  <c:v>15000</c:v>
                </c:pt>
                <c:pt idx="2">
                  <c:v>13000</c:v>
                </c:pt>
                <c:pt idx="3">
                  <c:v>14000</c:v>
                </c:pt>
                <c:pt idx="4">
                  <c:v>3000</c:v>
                </c:pt>
                <c:pt idx="5">
                  <c:v>4000</c:v>
                </c:pt>
                <c:pt idx="6">
                  <c:v>3500</c:v>
                </c:pt>
                <c:pt idx="7">
                  <c:v>3800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47E-48B4-9E6C-2BC0501A9571}"/>
            </c:ext>
          </c:extLst>
        </c:ser>
        <c:ser>
          <c:idx val="1"/>
          <c:order val="1"/>
          <c:tx>
            <c:strRef>
              <c:f>[1]Sheet12!$A$3</c:f>
              <c:strCache>
                <c:ptCount val="1"/>
                <c:pt idx="0">
                  <c:v>Desktop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[1]Sheet12!$B$1:$I$1</c:f>
              <c:strCache>
                <c:ptCount val="8"/>
                <c:pt idx="0">
                  <c:v>Q1 Sales (₹)</c:v>
                </c:pt>
                <c:pt idx="1">
                  <c:v>Q2 Sales (₹)</c:v>
                </c:pt>
                <c:pt idx="2">
                  <c:v>Q3 Sales (₹)</c:v>
                </c:pt>
                <c:pt idx="3">
                  <c:v>Q4 Sales (₹)</c:v>
                </c:pt>
                <c:pt idx="4">
                  <c:v>Q1 Profit (₹)</c:v>
                </c:pt>
                <c:pt idx="5">
                  <c:v>Q2 Profit (₹)</c:v>
                </c:pt>
                <c:pt idx="6">
                  <c:v>Q3 Profit (₹)</c:v>
                </c:pt>
                <c:pt idx="7">
                  <c:v>Q4 Profit (₹)</c:v>
                </c:pt>
              </c:strCache>
            </c:strRef>
          </c:cat>
          <c:val>
            <c:numRef>
              <c:f>[1]Sheet12!$B$3:$I$3</c:f>
              <c:numCache>
                <c:formatCode>General</c:formatCode>
                <c:ptCount val="8"/>
                <c:pt idx="0">
                  <c:v>15000</c:v>
                </c:pt>
                <c:pt idx="1">
                  <c:v>17000</c:v>
                </c:pt>
                <c:pt idx="2">
                  <c:v>16000</c:v>
                </c:pt>
                <c:pt idx="3">
                  <c:v>18000</c:v>
                </c:pt>
                <c:pt idx="4">
                  <c:v>5000</c:v>
                </c:pt>
                <c:pt idx="5">
                  <c:v>6000</c:v>
                </c:pt>
                <c:pt idx="6">
                  <c:v>5500</c:v>
                </c:pt>
                <c:pt idx="7">
                  <c:v>5800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47E-48B4-9E6C-2BC0501A9571}"/>
            </c:ext>
          </c:extLst>
        </c:ser>
        <c:ser>
          <c:idx val="2"/>
          <c:order val="2"/>
          <c:tx>
            <c:strRef>
              <c:f>[1]Sheet12!$A$4</c:f>
              <c:strCache>
                <c:ptCount val="1"/>
                <c:pt idx="0">
                  <c:v>SmartPhone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[1]Sheet12!$B$1:$I$1</c:f>
              <c:strCache>
                <c:ptCount val="8"/>
                <c:pt idx="0">
                  <c:v>Q1 Sales (₹)</c:v>
                </c:pt>
                <c:pt idx="1">
                  <c:v>Q2 Sales (₹)</c:v>
                </c:pt>
                <c:pt idx="2">
                  <c:v>Q3 Sales (₹)</c:v>
                </c:pt>
                <c:pt idx="3">
                  <c:v>Q4 Sales (₹)</c:v>
                </c:pt>
                <c:pt idx="4">
                  <c:v>Q1 Profit (₹)</c:v>
                </c:pt>
                <c:pt idx="5">
                  <c:v>Q2 Profit (₹)</c:v>
                </c:pt>
                <c:pt idx="6">
                  <c:v>Q3 Profit (₹)</c:v>
                </c:pt>
                <c:pt idx="7">
                  <c:v>Q4 Profit (₹)</c:v>
                </c:pt>
              </c:strCache>
            </c:strRef>
          </c:cat>
          <c:val>
            <c:numRef>
              <c:f>[1]Sheet12!$B$4:$I$4</c:f>
              <c:numCache>
                <c:formatCode>General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8500</c:v>
                </c:pt>
                <c:pt idx="3">
                  <c:v>8800</c:v>
                </c:pt>
                <c:pt idx="4">
                  <c:v>2000</c:v>
                </c:pt>
                <c:pt idx="5">
                  <c:v>2200</c:v>
                </c:pt>
                <c:pt idx="6">
                  <c:v>2100</c:v>
                </c:pt>
                <c:pt idx="7">
                  <c:v>2300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47E-48B4-9E6C-2BC0501A9571}"/>
            </c:ext>
          </c:extLst>
        </c:ser>
        <c:axId val="110328832"/>
        <c:axId val="110339200"/>
      </c:barChart>
      <c:lineChart>
        <c:grouping val="standard"/>
        <c:ser>
          <c:idx val="3"/>
          <c:order val="3"/>
          <c:tx>
            <c:strRef>
              <c:f>[1]Sheet12!$A$5</c:f>
              <c:strCache>
                <c:ptCount val="1"/>
                <c:pt idx="0">
                  <c:v>Tablet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[1]Sheet12!$B$1:$I$1</c:f>
              <c:strCache>
                <c:ptCount val="8"/>
                <c:pt idx="0">
                  <c:v>Q1 Sales (₹)</c:v>
                </c:pt>
                <c:pt idx="1">
                  <c:v>Q2 Sales (₹)</c:v>
                </c:pt>
                <c:pt idx="2">
                  <c:v>Q3 Sales (₹)</c:v>
                </c:pt>
                <c:pt idx="3">
                  <c:v>Q4 Sales (₹)</c:v>
                </c:pt>
                <c:pt idx="4">
                  <c:v>Q1 Profit (₹)</c:v>
                </c:pt>
                <c:pt idx="5">
                  <c:v>Q2 Profit (₹)</c:v>
                </c:pt>
                <c:pt idx="6">
                  <c:v>Q3 Profit (₹)</c:v>
                </c:pt>
                <c:pt idx="7">
                  <c:v>Q4 Profit (₹)</c:v>
                </c:pt>
              </c:strCache>
            </c:strRef>
          </c:cat>
          <c:val>
            <c:numRef>
              <c:f>[1]Sheet12!$B$5:$I$5</c:f>
              <c:numCache>
                <c:formatCode>General</c:formatCode>
                <c:ptCount val="8"/>
                <c:pt idx="0">
                  <c:v>13000</c:v>
                </c:pt>
                <c:pt idx="1">
                  <c:v>12000</c:v>
                </c:pt>
                <c:pt idx="2">
                  <c:v>13500</c:v>
                </c:pt>
                <c:pt idx="3">
                  <c:v>14500</c:v>
                </c:pt>
                <c:pt idx="4">
                  <c:v>4000</c:v>
                </c:pt>
                <c:pt idx="5">
                  <c:v>3500</c:v>
                </c:pt>
                <c:pt idx="6">
                  <c:v>4200</c:v>
                </c:pt>
                <c:pt idx="7">
                  <c:v>4500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147E-48B4-9E6C-2BC0501A9571}"/>
            </c:ext>
          </c:extLst>
        </c:ser>
        <c:ser>
          <c:idx val="4"/>
          <c:order val="4"/>
          <c:tx>
            <c:strRef>
              <c:f>[1]Sheet12!$A$6</c:f>
              <c:strCache>
                <c:ptCount val="1"/>
                <c:pt idx="0">
                  <c:v>Headphones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[1]Sheet12!$B$1:$I$1</c:f>
              <c:strCache>
                <c:ptCount val="8"/>
                <c:pt idx="0">
                  <c:v>Q1 Sales (₹)</c:v>
                </c:pt>
                <c:pt idx="1">
                  <c:v>Q2 Sales (₹)</c:v>
                </c:pt>
                <c:pt idx="2">
                  <c:v>Q3 Sales (₹)</c:v>
                </c:pt>
                <c:pt idx="3">
                  <c:v>Q4 Sales (₹)</c:v>
                </c:pt>
                <c:pt idx="4">
                  <c:v>Q1 Profit (₹)</c:v>
                </c:pt>
                <c:pt idx="5">
                  <c:v>Q2 Profit (₹)</c:v>
                </c:pt>
                <c:pt idx="6">
                  <c:v>Q3 Profit (₹)</c:v>
                </c:pt>
                <c:pt idx="7">
                  <c:v>Q4 Profit (₹)</c:v>
                </c:pt>
              </c:strCache>
            </c:strRef>
          </c:cat>
          <c:val>
            <c:numRef>
              <c:f>[1]Sheet12!$B$6:$I$6</c:f>
              <c:numCache>
                <c:formatCode>General</c:formatCode>
                <c:ptCount val="8"/>
                <c:pt idx="0">
                  <c:v>11000</c:v>
                </c:pt>
                <c:pt idx="1">
                  <c:v>10000</c:v>
                </c:pt>
                <c:pt idx="2">
                  <c:v>11500</c:v>
                </c:pt>
                <c:pt idx="3">
                  <c:v>12000</c:v>
                </c:pt>
                <c:pt idx="4">
                  <c:v>2800</c:v>
                </c:pt>
                <c:pt idx="5">
                  <c:v>2500</c:v>
                </c:pt>
                <c:pt idx="6">
                  <c:v>3000</c:v>
                </c:pt>
                <c:pt idx="7">
                  <c:v>3200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47E-48B4-9E6C-2BC0501A9571}"/>
            </c:ext>
          </c:extLst>
        </c:ser>
        <c:marker val="1"/>
        <c:axId val="110351488"/>
        <c:axId val="110341120"/>
      </c:lineChart>
      <c:catAx>
        <c:axId val="110328832"/>
        <c:scaling>
          <c:orientation val="minMax"/>
        </c:scaling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Product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39200"/>
        <c:crosses val="autoZero"/>
        <c:auto val="1"/>
        <c:lblAlgn val="ctr"/>
        <c:lblOffset val="100"/>
      </c:catAx>
      <c:valAx>
        <c:axId val="11033920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Sales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8832"/>
        <c:crosses val="autoZero"/>
        <c:crossBetween val="between"/>
      </c:valAx>
      <c:valAx>
        <c:axId val="110341120"/>
        <c:scaling>
          <c:orientation val="minMax"/>
        </c:scaling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Profit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51488"/>
        <c:crosses val="max"/>
        <c:crossBetween val="between"/>
      </c:valAx>
      <c:catAx>
        <c:axId val="110351488"/>
        <c:scaling>
          <c:orientation val="minMax"/>
        </c:scaling>
        <c:delete val="1"/>
        <c:axPos val="b"/>
        <c:numFmt formatCode="General" sourceLinked="1"/>
        <c:majorTickMark val="none"/>
        <c:tickLblPos val="nextTo"/>
        <c:crossAx val="110341120"/>
        <c:crosses val="autoZero"/>
        <c:auto val="1"/>
        <c:lblAlgn val="ctr"/>
        <c:lblOffset val="100"/>
      </c:cat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pivotSource>
    <c:name>[013PGDCSA_FCOAT.xlsm]Que. 16!PivotTable7</c:name>
    <c:fmtId val="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'Que. 16'!$B$3:$B$4</c:f>
              <c:strCache>
                <c:ptCount val="1"/>
                <c:pt idx="0">
                  <c:v>Sum of Math</c:v>
                </c:pt>
              </c:strCache>
            </c:strRef>
          </c:tx>
          <c:cat>
            <c:strRef>
              <c:f>'Que. 16'!$A$5:$A$15</c:f>
              <c:strCache>
                <c:ptCount val="10"/>
                <c:pt idx="0">
                  <c:v>Ansh Dave</c:v>
                </c:pt>
                <c:pt idx="1">
                  <c:v>Bansari Patel</c:v>
                </c:pt>
                <c:pt idx="2">
                  <c:v>Dipti Parmar</c:v>
                </c:pt>
                <c:pt idx="3">
                  <c:v>Heer Gohil </c:v>
                </c:pt>
                <c:pt idx="4">
                  <c:v>Hetansh Gohil</c:v>
                </c:pt>
                <c:pt idx="5">
                  <c:v>Himakshi Rathod</c:v>
                </c:pt>
                <c:pt idx="6">
                  <c:v>Krish Desai</c:v>
                </c:pt>
                <c:pt idx="7">
                  <c:v>Mayur Solanki</c:v>
                </c:pt>
                <c:pt idx="8">
                  <c:v>Purav Parikh</c:v>
                </c:pt>
                <c:pt idx="9">
                  <c:v>Pushti Panchal</c:v>
                </c:pt>
              </c:strCache>
            </c:strRef>
          </c:cat>
          <c:val>
            <c:numRef>
              <c:f>'Que. 16'!$B$5:$B$15</c:f>
              <c:numCache>
                <c:formatCode>General</c:formatCode>
                <c:ptCount val="10"/>
                <c:pt idx="0">
                  <c:v>87</c:v>
                </c:pt>
                <c:pt idx="1">
                  <c:v>66</c:v>
                </c:pt>
                <c:pt idx="2">
                  <c:v>36</c:v>
                </c:pt>
                <c:pt idx="3">
                  <c:v>45</c:v>
                </c:pt>
                <c:pt idx="4">
                  <c:v>69</c:v>
                </c:pt>
                <c:pt idx="5">
                  <c:v>55</c:v>
                </c:pt>
                <c:pt idx="6">
                  <c:v>33</c:v>
                </c:pt>
                <c:pt idx="7">
                  <c:v>67</c:v>
                </c:pt>
                <c:pt idx="8">
                  <c:v>44</c:v>
                </c:pt>
                <c:pt idx="9">
                  <c:v>54</c:v>
                </c:pt>
              </c:numCache>
            </c:numRef>
          </c:val>
        </c:ser>
        <c:ser>
          <c:idx val="1"/>
          <c:order val="1"/>
          <c:tx>
            <c:strRef>
              <c:f>'Que. 16'!$C$3:$C$4</c:f>
              <c:strCache>
                <c:ptCount val="1"/>
                <c:pt idx="0">
                  <c:v>Sum of English</c:v>
                </c:pt>
              </c:strCache>
            </c:strRef>
          </c:tx>
          <c:cat>
            <c:strRef>
              <c:f>'Que. 16'!$A$5:$A$15</c:f>
              <c:strCache>
                <c:ptCount val="10"/>
                <c:pt idx="0">
                  <c:v>Ansh Dave</c:v>
                </c:pt>
                <c:pt idx="1">
                  <c:v>Bansari Patel</c:v>
                </c:pt>
                <c:pt idx="2">
                  <c:v>Dipti Parmar</c:v>
                </c:pt>
                <c:pt idx="3">
                  <c:v>Heer Gohil </c:v>
                </c:pt>
                <c:pt idx="4">
                  <c:v>Hetansh Gohil</c:v>
                </c:pt>
                <c:pt idx="5">
                  <c:v>Himakshi Rathod</c:v>
                </c:pt>
                <c:pt idx="6">
                  <c:v>Krish Desai</c:v>
                </c:pt>
                <c:pt idx="7">
                  <c:v>Mayur Solanki</c:v>
                </c:pt>
                <c:pt idx="8">
                  <c:v>Purav Parikh</c:v>
                </c:pt>
                <c:pt idx="9">
                  <c:v>Pushti Panchal</c:v>
                </c:pt>
              </c:strCache>
            </c:strRef>
          </c:cat>
          <c:val>
            <c:numRef>
              <c:f>'Que. 16'!$C$5:$C$15</c:f>
              <c:numCache>
                <c:formatCode>General</c:formatCode>
                <c:ptCount val="10"/>
                <c:pt idx="0">
                  <c:v>81</c:v>
                </c:pt>
                <c:pt idx="1">
                  <c:v>52</c:v>
                </c:pt>
                <c:pt idx="2">
                  <c:v>88</c:v>
                </c:pt>
                <c:pt idx="3">
                  <c:v>83</c:v>
                </c:pt>
                <c:pt idx="4">
                  <c:v>68</c:v>
                </c:pt>
                <c:pt idx="5">
                  <c:v>39</c:v>
                </c:pt>
                <c:pt idx="6">
                  <c:v>59</c:v>
                </c:pt>
                <c:pt idx="7">
                  <c:v>54</c:v>
                </c:pt>
                <c:pt idx="8">
                  <c:v>47</c:v>
                </c:pt>
                <c:pt idx="9">
                  <c:v>64</c:v>
                </c:pt>
              </c:numCache>
            </c:numRef>
          </c:val>
        </c:ser>
        <c:ser>
          <c:idx val="2"/>
          <c:order val="2"/>
          <c:tx>
            <c:strRef>
              <c:f>'Que. 16'!$D$3:$D$4</c:f>
              <c:strCache>
                <c:ptCount val="1"/>
                <c:pt idx="0">
                  <c:v>Sum of Science</c:v>
                </c:pt>
              </c:strCache>
            </c:strRef>
          </c:tx>
          <c:cat>
            <c:strRef>
              <c:f>'Que. 16'!$A$5:$A$15</c:f>
              <c:strCache>
                <c:ptCount val="10"/>
                <c:pt idx="0">
                  <c:v>Ansh Dave</c:v>
                </c:pt>
                <c:pt idx="1">
                  <c:v>Bansari Patel</c:v>
                </c:pt>
                <c:pt idx="2">
                  <c:v>Dipti Parmar</c:v>
                </c:pt>
                <c:pt idx="3">
                  <c:v>Heer Gohil </c:v>
                </c:pt>
                <c:pt idx="4">
                  <c:v>Hetansh Gohil</c:v>
                </c:pt>
                <c:pt idx="5">
                  <c:v>Himakshi Rathod</c:v>
                </c:pt>
                <c:pt idx="6">
                  <c:v>Krish Desai</c:v>
                </c:pt>
                <c:pt idx="7">
                  <c:v>Mayur Solanki</c:v>
                </c:pt>
                <c:pt idx="8">
                  <c:v>Purav Parikh</c:v>
                </c:pt>
                <c:pt idx="9">
                  <c:v>Pushti Panchal</c:v>
                </c:pt>
              </c:strCache>
            </c:strRef>
          </c:cat>
          <c:val>
            <c:numRef>
              <c:f>'Que. 16'!$D$5:$D$15</c:f>
              <c:numCache>
                <c:formatCode>General</c:formatCode>
                <c:ptCount val="10"/>
                <c:pt idx="0">
                  <c:v>86</c:v>
                </c:pt>
                <c:pt idx="1">
                  <c:v>63</c:v>
                </c:pt>
                <c:pt idx="2">
                  <c:v>83</c:v>
                </c:pt>
                <c:pt idx="3">
                  <c:v>35</c:v>
                </c:pt>
                <c:pt idx="4">
                  <c:v>35</c:v>
                </c:pt>
                <c:pt idx="5">
                  <c:v>92</c:v>
                </c:pt>
                <c:pt idx="6">
                  <c:v>88</c:v>
                </c:pt>
                <c:pt idx="7">
                  <c:v>57</c:v>
                </c:pt>
                <c:pt idx="8">
                  <c:v>56</c:v>
                </c:pt>
                <c:pt idx="9">
                  <c:v>63</c:v>
                </c:pt>
              </c:numCache>
            </c:numRef>
          </c:val>
        </c:ser>
        <c:ser>
          <c:idx val="3"/>
          <c:order val="3"/>
          <c:tx>
            <c:strRef>
              <c:f>'Que. 16'!$E$3:$E$4</c:f>
              <c:strCache>
                <c:ptCount val="1"/>
                <c:pt idx="0">
                  <c:v>Sum of Social Science</c:v>
                </c:pt>
              </c:strCache>
            </c:strRef>
          </c:tx>
          <c:cat>
            <c:strRef>
              <c:f>'Que. 16'!$A$5:$A$15</c:f>
              <c:strCache>
                <c:ptCount val="10"/>
                <c:pt idx="0">
                  <c:v>Ansh Dave</c:v>
                </c:pt>
                <c:pt idx="1">
                  <c:v>Bansari Patel</c:v>
                </c:pt>
                <c:pt idx="2">
                  <c:v>Dipti Parmar</c:v>
                </c:pt>
                <c:pt idx="3">
                  <c:v>Heer Gohil </c:v>
                </c:pt>
                <c:pt idx="4">
                  <c:v>Hetansh Gohil</c:v>
                </c:pt>
                <c:pt idx="5">
                  <c:v>Himakshi Rathod</c:v>
                </c:pt>
                <c:pt idx="6">
                  <c:v>Krish Desai</c:v>
                </c:pt>
                <c:pt idx="7">
                  <c:v>Mayur Solanki</c:v>
                </c:pt>
                <c:pt idx="8">
                  <c:v>Purav Parikh</c:v>
                </c:pt>
                <c:pt idx="9">
                  <c:v>Pushti Panchal</c:v>
                </c:pt>
              </c:strCache>
            </c:strRef>
          </c:cat>
          <c:val>
            <c:numRef>
              <c:f>'Que. 16'!$E$5:$E$15</c:f>
              <c:numCache>
                <c:formatCode>General</c:formatCode>
                <c:ptCount val="10"/>
                <c:pt idx="0">
                  <c:v>54</c:v>
                </c:pt>
                <c:pt idx="1">
                  <c:v>55</c:v>
                </c:pt>
                <c:pt idx="2">
                  <c:v>32</c:v>
                </c:pt>
                <c:pt idx="3">
                  <c:v>63</c:v>
                </c:pt>
                <c:pt idx="4">
                  <c:v>58</c:v>
                </c:pt>
                <c:pt idx="5">
                  <c:v>42</c:v>
                </c:pt>
                <c:pt idx="6">
                  <c:v>38</c:v>
                </c:pt>
                <c:pt idx="7">
                  <c:v>53</c:v>
                </c:pt>
                <c:pt idx="8">
                  <c:v>73</c:v>
                </c:pt>
                <c:pt idx="9">
                  <c:v>66</c:v>
                </c:pt>
              </c:numCache>
            </c:numRef>
          </c:val>
        </c:ser>
        <c:axId val="110443904"/>
        <c:axId val="110457984"/>
      </c:barChart>
      <c:catAx>
        <c:axId val="110443904"/>
        <c:scaling>
          <c:orientation val="minMax"/>
        </c:scaling>
        <c:axPos val="b"/>
        <c:tickLblPos val="nextTo"/>
        <c:crossAx val="110457984"/>
        <c:crosses val="autoZero"/>
        <c:auto val="1"/>
        <c:lblAlgn val="ctr"/>
        <c:lblOffset val="100"/>
      </c:catAx>
      <c:valAx>
        <c:axId val="110457984"/>
        <c:scaling>
          <c:orientation val="minMax"/>
        </c:scaling>
        <c:axPos val="l"/>
        <c:majorGridlines/>
        <c:numFmt formatCode="General" sourceLinked="1"/>
        <c:tickLblPos val="nextTo"/>
        <c:crossAx val="110443904"/>
        <c:crosses val="autoZero"/>
        <c:crossBetween val="between"/>
      </c:valAx>
    </c:plotArea>
    <c:legend>
      <c:legendPos val="r"/>
      <c:layout/>
    </c:legend>
    <c:plotVisOnly val="1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0</xdr:row>
      <xdr:rowOff>38100</xdr:rowOff>
    </xdr:from>
    <xdr:to>
      <xdr:col>13</xdr:col>
      <xdr:colOff>209550</xdr:colOff>
      <xdr:row>10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400049</xdr:colOff>
      <xdr:row>0</xdr:row>
      <xdr:rowOff>0</xdr:rowOff>
    </xdr:from>
    <xdr:to>
      <xdr:col>15</xdr:col>
      <xdr:colOff>561975</xdr:colOff>
      <xdr:row>18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179070</xdr:rowOff>
    </xdr:from>
    <xdr:to>
      <xdr:col>5</xdr:col>
      <xdr:colOff>22860</xdr:colOff>
      <xdr:row>26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71178F89-DFFC-59E2-AFA2-F30C120EE4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2</xdr:row>
      <xdr:rowOff>38100</xdr:rowOff>
    </xdr:from>
    <xdr:to>
      <xdr:col>11</xdr:col>
      <xdr:colOff>238125</xdr:colOff>
      <xdr:row>16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11</xdr:row>
      <xdr:rowOff>133350</xdr:rowOff>
    </xdr:from>
    <xdr:to>
      <xdr:col>7</xdr:col>
      <xdr:colOff>466725</xdr:colOff>
      <xdr:row>25</xdr:row>
      <xdr:rowOff>123825</xdr:rowOff>
    </xdr:to>
    <xdr:pic>
      <xdr:nvPicPr>
        <xdr:cNvPr id="2" name="Picture 1" descr="Capture.JP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2790825"/>
          <a:ext cx="6515100" cy="265747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6</xdr:row>
      <xdr:rowOff>123825</xdr:rowOff>
    </xdr:from>
    <xdr:to>
      <xdr:col>2</xdr:col>
      <xdr:colOff>438457</xdr:colOff>
      <xdr:row>22</xdr:row>
      <xdr:rowOff>9935</xdr:rowOff>
    </xdr:to>
    <xdr:pic>
      <xdr:nvPicPr>
        <xdr:cNvPr id="14" name="Picture 13" descr="Screenshot (47)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2085975"/>
          <a:ext cx="2200582" cy="293411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428625</xdr:colOff>
      <xdr:row>13</xdr:row>
      <xdr:rowOff>171449</xdr:rowOff>
    </xdr:from>
    <xdr:to>
      <xdr:col>1</xdr:col>
      <xdr:colOff>381000</xdr:colOff>
      <xdr:row>15</xdr:row>
      <xdr:rowOff>123824</xdr:rowOff>
    </xdr:to>
    <xdr:sp macro="" textlink="">
      <xdr:nvSpPr>
        <xdr:cNvPr id="18" name="Rectangle 17"/>
        <xdr:cNvSpPr/>
      </xdr:nvSpPr>
      <xdr:spPr>
        <a:xfrm>
          <a:off x="428625" y="3467099"/>
          <a:ext cx="1276350" cy="33337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161925</xdr:colOff>
      <xdr:row>4</xdr:row>
      <xdr:rowOff>66675</xdr:rowOff>
    </xdr:from>
    <xdr:to>
      <xdr:col>2</xdr:col>
      <xdr:colOff>438150</xdr:colOff>
      <xdr:row>6</xdr:row>
      <xdr:rowOff>19050</xdr:rowOff>
    </xdr:to>
    <xdr:sp macro="" textlink="">
      <xdr:nvSpPr>
        <xdr:cNvPr id="19" name="Rectangle 18"/>
        <xdr:cNvSpPr/>
      </xdr:nvSpPr>
      <xdr:spPr>
        <a:xfrm>
          <a:off x="161925" y="1647825"/>
          <a:ext cx="220980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Right Click on Worksheet </a:t>
          </a:r>
        </a:p>
      </xdr:txBody>
    </xdr:sp>
    <xdr:clientData/>
  </xdr:twoCellAnchor>
  <xdr:twoCellAnchor editAs="oneCell">
    <xdr:from>
      <xdr:col>3</xdr:col>
      <xdr:colOff>66675</xdr:colOff>
      <xdr:row>7</xdr:row>
      <xdr:rowOff>9526</xdr:rowOff>
    </xdr:from>
    <xdr:to>
      <xdr:col>6</xdr:col>
      <xdr:colOff>123825</xdr:colOff>
      <xdr:row>22</xdr:row>
      <xdr:rowOff>43850</xdr:rowOff>
    </xdr:to>
    <xdr:pic>
      <xdr:nvPicPr>
        <xdr:cNvPr id="21" name="Picture 20" descr="Screenshot (49)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09850" y="2162176"/>
          <a:ext cx="2857500" cy="28918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28575</xdr:colOff>
      <xdr:row>4</xdr:row>
      <xdr:rowOff>57150</xdr:rowOff>
    </xdr:from>
    <xdr:to>
      <xdr:col>5</xdr:col>
      <xdr:colOff>19050</xdr:colOff>
      <xdr:row>6</xdr:row>
      <xdr:rowOff>9525</xdr:rowOff>
    </xdr:to>
    <xdr:sp macro="" textlink="">
      <xdr:nvSpPr>
        <xdr:cNvPr id="22" name="Rectangle 21"/>
        <xdr:cNvSpPr/>
      </xdr:nvSpPr>
      <xdr:spPr>
        <a:xfrm>
          <a:off x="2571750" y="1638300"/>
          <a:ext cx="21812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Enter a Password</a:t>
          </a:r>
        </a:p>
      </xdr:txBody>
    </xdr:sp>
    <xdr:clientData/>
  </xdr:twoCellAnchor>
  <xdr:twoCellAnchor editAs="oneCell">
    <xdr:from>
      <xdr:col>6</xdr:col>
      <xdr:colOff>447675</xdr:colOff>
      <xdr:row>6</xdr:row>
      <xdr:rowOff>171450</xdr:rowOff>
    </xdr:from>
    <xdr:to>
      <xdr:col>11</xdr:col>
      <xdr:colOff>68531</xdr:colOff>
      <xdr:row>22</xdr:row>
      <xdr:rowOff>66675</xdr:rowOff>
    </xdr:to>
    <xdr:pic>
      <xdr:nvPicPr>
        <xdr:cNvPr id="23" name="Picture 22" descr="Screenshot (53).png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91200" y="2133600"/>
          <a:ext cx="2668856" cy="29432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6</xdr:col>
      <xdr:colOff>438150</xdr:colOff>
      <xdr:row>3</xdr:row>
      <xdr:rowOff>152400</xdr:rowOff>
    </xdr:from>
    <xdr:to>
      <xdr:col>10</xdr:col>
      <xdr:colOff>190500</xdr:colOff>
      <xdr:row>5</xdr:row>
      <xdr:rowOff>104775</xdr:rowOff>
    </xdr:to>
    <xdr:sp macro="" textlink="">
      <xdr:nvSpPr>
        <xdr:cNvPr id="24" name="Rectangle 23"/>
        <xdr:cNvSpPr/>
      </xdr:nvSpPr>
      <xdr:spPr>
        <a:xfrm>
          <a:off x="5781675" y="1543050"/>
          <a:ext cx="21907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ReEnter a Password</a:t>
          </a:r>
        </a:p>
      </xdr:txBody>
    </xdr:sp>
    <xdr:clientData/>
  </xdr:twoCellAnchor>
  <xdr:twoCellAnchor editAs="oneCell">
    <xdr:from>
      <xdr:col>11</xdr:col>
      <xdr:colOff>200025</xdr:colOff>
      <xdr:row>6</xdr:row>
      <xdr:rowOff>129031</xdr:rowOff>
    </xdr:from>
    <xdr:to>
      <xdr:col>27</xdr:col>
      <xdr:colOff>39916</xdr:colOff>
      <xdr:row>23</xdr:row>
      <xdr:rowOff>67276</xdr:rowOff>
    </xdr:to>
    <xdr:pic>
      <xdr:nvPicPr>
        <xdr:cNvPr id="25" name="Picture 24" descr="Screenshot (55).png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91550" y="2091181"/>
          <a:ext cx="9593491" cy="317674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11</xdr:col>
      <xdr:colOff>266700</xdr:colOff>
      <xdr:row>3</xdr:row>
      <xdr:rowOff>123825</xdr:rowOff>
    </xdr:from>
    <xdr:to>
      <xdr:col>15</xdr:col>
      <xdr:colOff>19050</xdr:colOff>
      <xdr:row>5</xdr:row>
      <xdr:rowOff>76200</xdr:rowOff>
    </xdr:to>
    <xdr:sp macro="" textlink="">
      <xdr:nvSpPr>
        <xdr:cNvPr id="26" name="Rectangle 25"/>
        <xdr:cNvSpPr/>
      </xdr:nvSpPr>
      <xdr:spPr>
        <a:xfrm>
          <a:off x="8658225" y="1514475"/>
          <a:ext cx="21907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Protected Worksheet</a:t>
          </a:r>
        </a:p>
      </xdr:txBody>
    </xdr:sp>
    <xdr:clientData/>
  </xdr:twoCellAnchor>
  <xdr:twoCellAnchor editAs="oneCell">
    <xdr:from>
      <xdr:col>0</xdr:col>
      <xdr:colOff>314325</xdr:colOff>
      <xdr:row>29</xdr:row>
      <xdr:rowOff>76200</xdr:rowOff>
    </xdr:from>
    <xdr:to>
      <xdr:col>3</xdr:col>
      <xdr:colOff>295628</xdr:colOff>
      <xdr:row>46</xdr:row>
      <xdr:rowOff>95705</xdr:rowOff>
    </xdr:to>
    <xdr:pic>
      <xdr:nvPicPr>
        <xdr:cNvPr id="27" name="Picture 26" descr="Screenshot (56).png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4325" y="5753100"/>
          <a:ext cx="2524478" cy="325800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447675</xdr:colOff>
      <xdr:row>26</xdr:row>
      <xdr:rowOff>95250</xdr:rowOff>
    </xdr:from>
    <xdr:to>
      <xdr:col>3</xdr:col>
      <xdr:colOff>114300</xdr:colOff>
      <xdr:row>28</xdr:row>
      <xdr:rowOff>47625</xdr:rowOff>
    </xdr:to>
    <xdr:sp macro="" textlink="">
      <xdr:nvSpPr>
        <xdr:cNvPr id="28" name="Rectangle 27"/>
        <xdr:cNvSpPr/>
      </xdr:nvSpPr>
      <xdr:spPr>
        <a:xfrm>
          <a:off x="447675" y="5200650"/>
          <a:ext cx="220980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Right Click on Worksheet </a:t>
          </a:r>
        </a:p>
      </xdr:txBody>
    </xdr:sp>
    <xdr:clientData/>
  </xdr:twoCellAnchor>
  <xdr:twoCellAnchor>
    <xdr:from>
      <xdr:col>0</xdr:col>
      <xdr:colOff>847725</xdr:colOff>
      <xdr:row>36</xdr:row>
      <xdr:rowOff>114299</xdr:rowOff>
    </xdr:from>
    <xdr:to>
      <xdr:col>2</xdr:col>
      <xdr:colOff>190500</xdr:colOff>
      <xdr:row>38</xdr:row>
      <xdr:rowOff>66674</xdr:rowOff>
    </xdr:to>
    <xdr:sp macro="" textlink="">
      <xdr:nvSpPr>
        <xdr:cNvPr id="29" name="Rectangle 28"/>
        <xdr:cNvSpPr/>
      </xdr:nvSpPr>
      <xdr:spPr>
        <a:xfrm>
          <a:off x="847725" y="7124699"/>
          <a:ext cx="1276350" cy="33337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4</xdr:col>
      <xdr:colOff>323850</xdr:colOff>
      <xdr:row>29</xdr:row>
      <xdr:rowOff>133350</xdr:rowOff>
    </xdr:from>
    <xdr:to>
      <xdr:col>9</xdr:col>
      <xdr:colOff>381434</xdr:colOff>
      <xdr:row>45</xdr:row>
      <xdr:rowOff>143302</xdr:rowOff>
    </xdr:to>
    <xdr:pic>
      <xdr:nvPicPr>
        <xdr:cNvPr id="30" name="Picture 29" descr="Screenshot (58).png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48175" y="5810250"/>
          <a:ext cx="3105584" cy="30579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514350</xdr:colOff>
      <xdr:row>27</xdr:row>
      <xdr:rowOff>19050</xdr:rowOff>
    </xdr:from>
    <xdr:to>
      <xdr:col>8</xdr:col>
      <xdr:colOff>285750</xdr:colOff>
      <xdr:row>28</xdr:row>
      <xdr:rowOff>161925</xdr:rowOff>
    </xdr:to>
    <xdr:sp macro="" textlink="">
      <xdr:nvSpPr>
        <xdr:cNvPr id="31" name="Rectangle 30"/>
        <xdr:cNvSpPr/>
      </xdr:nvSpPr>
      <xdr:spPr>
        <a:xfrm>
          <a:off x="4638675" y="5314950"/>
          <a:ext cx="220980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Enter the Password Then Click Ok</a:t>
          </a:r>
        </a:p>
      </xdr:txBody>
    </xdr:sp>
    <xdr:clientData/>
  </xdr:twoCellAnchor>
  <xdr:twoCellAnchor editAs="oneCell">
    <xdr:from>
      <xdr:col>0</xdr:col>
      <xdr:colOff>350343</xdr:colOff>
      <xdr:row>51</xdr:row>
      <xdr:rowOff>152400</xdr:rowOff>
    </xdr:from>
    <xdr:to>
      <xdr:col>4</xdr:col>
      <xdr:colOff>495298</xdr:colOff>
      <xdr:row>64</xdr:row>
      <xdr:rowOff>76198</xdr:rowOff>
    </xdr:to>
    <xdr:pic>
      <xdr:nvPicPr>
        <xdr:cNvPr id="16" name="Picture 15" descr="Screenshot (59).png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0343" y="10086975"/>
          <a:ext cx="4269280" cy="2400298"/>
        </a:xfrm>
        <a:prstGeom prst="rect">
          <a:avLst/>
        </a:prstGeom>
      </xdr:spPr>
    </xdr:pic>
    <xdr:clientData/>
  </xdr:twoCellAnchor>
  <xdr:twoCellAnchor>
    <xdr:from>
      <xdr:col>0</xdr:col>
      <xdr:colOff>752475</xdr:colOff>
      <xdr:row>49</xdr:row>
      <xdr:rowOff>76200</xdr:rowOff>
    </xdr:from>
    <xdr:to>
      <xdr:col>3</xdr:col>
      <xdr:colOff>419100</xdr:colOff>
      <xdr:row>51</xdr:row>
      <xdr:rowOff>28575</xdr:rowOff>
    </xdr:to>
    <xdr:sp macro="" textlink="">
      <xdr:nvSpPr>
        <xdr:cNvPr id="17" name="Rectangle 16"/>
        <xdr:cNvSpPr/>
      </xdr:nvSpPr>
      <xdr:spPr>
        <a:xfrm>
          <a:off x="752475" y="9629775"/>
          <a:ext cx="220980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Click on File menu then click Encyrpt Document </a:t>
          </a:r>
        </a:p>
      </xdr:txBody>
    </xdr:sp>
    <xdr:clientData/>
  </xdr:twoCellAnchor>
  <xdr:twoCellAnchor editAs="oneCell">
    <xdr:from>
      <xdr:col>5</xdr:col>
      <xdr:colOff>356593</xdr:colOff>
      <xdr:row>51</xdr:row>
      <xdr:rowOff>142874</xdr:rowOff>
    </xdr:from>
    <xdr:to>
      <xdr:col>12</xdr:col>
      <xdr:colOff>561974</xdr:colOff>
      <xdr:row>64</xdr:row>
      <xdr:rowOff>180973</xdr:rowOff>
    </xdr:to>
    <xdr:pic>
      <xdr:nvPicPr>
        <xdr:cNvPr id="20" name="Picture 19" descr="Screenshot (60).png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90518" y="10077449"/>
          <a:ext cx="4472581" cy="2514599"/>
        </a:xfrm>
        <a:prstGeom prst="rect">
          <a:avLst/>
        </a:prstGeom>
      </xdr:spPr>
    </xdr:pic>
    <xdr:clientData/>
  </xdr:twoCellAnchor>
  <xdr:twoCellAnchor>
    <xdr:from>
      <xdr:col>6</xdr:col>
      <xdr:colOff>314325</xdr:colOff>
      <xdr:row>49</xdr:row>
      <xdr:rowOff>85725</xdr:rowOff>
    </xdr:from>
    <xdr:to>
      <xdr:col>10</xdr:col>
      <xdr:colOff>85725</xdr:colOff>
      <xdr:row>51</xdr:row>
      <xdr:rowOff>38100</xdr:rowOff>
    </xdr:to>
    <xdr:sp macro="" textlink="">
      <xdr:nvSpPr>
        <xdr:cNvPr id="32" name="Rectangle 31"/>
        <xdr:cNvSpPr/>
      </xdr:nvSpPr>
      <xdr:spPr>
        <a:xfrm>
          <a:off x="5657850" y="9639300"/>
          <a:ext cx="220980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Enter password</a:t>
          </a:r>
        </a:p>
      </xdr:txBody>
    </xdr:sp>
    <xdr:clientData/>
  </xdr:twoCellAnchor>
  <xdr:twoCellAnchor>
    <xdr:from>
      <xdr:col>0</xdr:col>
      <xdr:colOff>1285875</xdr:colOff>
      <xdr:row>67</xdr:row>
      <xdr:rowOff>76200</xdr:rowOff>
    </xdr:from>
    <xdr:to>
      <xdr:col>3</xdr:col>
      <xdr:colOff>952500</xdr:colOff>
      <xdr:row>69</xdr:row>
      <xdr:rowOff>28575</xdr:rowOff>
    </xdr:to>
    <xdr:sp macro="" textlink="">
      <xdr:nvSpPr>
        <xdr:cNvPr id="33" name="Rectangle 32"/>
        <xdr:cNvSpPr/>
      </xdr:nvSpPr>
      <xdr:spPr>
        <a:xfrm>
          <a:off x="1285875" y="13058775"/>
          <a:ext cx="220980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 Enter password then</a:t>
          </a:r>
          <a:r>
            <a:rPr lang="en-US" sz="1100" baseline="0"/>
            <a:t> Ok</a:t>
          </a:r>
          <a:endParaRPr lang="en-US" sz="1100"/>
        </a:p>
      </xdr:txBody>
    </xdr:sp>
    <xdr:clientData/>
  </xdr:twoCellAnchor>
  <xdr:twoCellAnchor editAs="oneCell">
    <xdr:from>
      <xdr:col>0</xdr:col>
      <xdr:colOff>276225</xdr:colOff>
      <xdr:row>69</xdr:row>
      <xdr:rowOff>173206</xdr:rowOff>
    </xdr:from>
    <xdr:to>
      <xdr:col>6</xdr:col>
      <xdr:colOff>96765</xdr:colOff>
      <xdr:row>85</xdr:row>
      <xdr:rowOff>28575</xdr:rowOff>
    </xdr:to>
    <xdr:pic>
      <xdr:nvPicPr>
        <xdr:cNvPr id="34" name="Picture 33" descr="Screenshot (62).png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76225" y="13536781"/>
          <a:ext cx="5164065" cy="2903369"/>
        </a:xfrm>
        <a:prstGeom prst="rect">
          <a:avLst/>
        </a:prstGeom>
      </xdr:spPr>
    </xdr:pic>
    <xdr:clientData/>
  </xdr:twoCellAnchor>
  <xdr:twoCellAnchor>
    <xdr:from>
      <xdr:col>8</xdr:col>
      <xdr:colOff>171450</xdr:colOff>
      <xdr:row>67</xdr:row>
      <xdr:rowOff>95250</xdr:rowOff>
    </xdr:from>
    <xdr:to>
      <xdr:col>11</xdr:col>
      <xdr:colOff>552450</xdr:colOff>
      <xdr:row>69</xdr:row>
      <xdr:rowOff>47625</xdr:rowOff>
    </xdr:to>
    <xdr:sp macro="" textlink="">
      <xdr:nvSpPr>
        <xdr:cNvPr id="35" name="Rectangle 34"/>
        <xdr:cNvSpPr/>
      </xdr:nvSpPr>
      <xdr:spPr>
        <a:xfrm>
          <a:off x="6734175" y="13077825"/>
          <a:ext cx="220980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Protected </a:t>
          </a:r>
          <a:r>
            <a:rPr lang="en-US" sz="1100" baseline="0"/>
            <a:t>workbook</a:t>
          </a:r>
          <a:endParaRPr lang="en-US" sz="1100"/>
        </a:p>
      </xdr:txBody>
    </xdr:sp>
    <xdr:clientData/>
  </xdr:twoCellAnchor>
  <xdr:twoCellAnchor editAs="oneCell">
    <xdr:from>
      <xdr:col>7</xdr:col>
      <xdr:colOff>166092</xdr:colOff>
      <xdr:row>71</xdr:row>
      <xdr:rowOff>19050</xdr:rowOff>
    </xdr:from>
    <xdr:to>
      <xdr:col>14</xdr:col>
      <xdr:colOff>371473</xdr:colOff>
      <xdr:row>84</xdr:row>
      <xdr:rowOff>57149</xdr:rowOff>
    </xdr:to>
    <xdr:pic>
      <xdr:nvPicPr>
        <xdr:cNvPr id="36" name="Picture 35" descr="Screenshot (63).png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19217" y="13763625"/>
          <a:ext cx="4472581" cy="25145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%20Practical%20asii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5(1)"/>
      <sheetName val="Sheet16"/>
      <sheetName val="Sheet16(1)"/>
      <sheetName val="Sheet17"/>
      <sheetName val="Sheet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B1" t="str">
            <v>Q1 Sales (₹)</v>
          </cell>
          <cell r="C1" t="str">
            <v>Q2 Sales (₹)</v>
          </cell>
          <cell r="D1" t="str">
            <v>Q3 Sales (₹)</v>
          </cell>
          <cell r="E1" t="str">
            <v>Q4 Sales (₹)</v>
          </cell>
          <cell r="F1" t="str">
            <v>Q1 Profit (₹)</v>
          </cell>
          <cell r="G1" t="str">
            <v>Q2 Profit (₹)</v>
          </cell>
          <cell r="H1" t="str">
            <v>Q3 Profit (₹)</v>
          </cell>
          <cell r="I1" t="str">
            <v>Q4 Profit (₹)</v>
          </cell>
        </row>
        <row r="2">
          <cell r="A2" t="str">
            <v>Laptop</v>
          </cell>
          <cell r="B2">
            <v>12000</v>
          </cell>
          <cell r="C2">
            <v>15000</v>
          </cell>
          <cell r="D2">
            <v>13000</v>
          </cell>
          <cell r="E2">
            <v>14000</v>
          </cell>
          <cell r="F2">
            <v>3000</v>
          </cell>
          <cell r="G2">
            <v>4000</v>
          </cell>
          <cell r="H2">
            <v>3500</v>
          </cell>
          <cell r="I2">
            <v>3800</v>
          </cell>
        </row>
        <row r="3">
          <cell r="A3" t="str">
            <v>Desktop</v>
          </cell>
          <cell r="B3">
            <v>15000</v>
          </cell>
          <cell r="C3">
            <v>17000</v>
          </cell>
          <cell r="D3">
            <v>16000</v>
          </cell>
          <cell r="E3">
            <v>18000</v>
          </cell>
          <cell r="F3">
            <v>5000</v>
          </cell>
          <cell r="G3">
            <v>6000</v>
          </cell>
          <cell r="H3">
            <v>5500</v>
          </cell>
          <cell r="I3">
            <v>5800</v>
          </cell>
        </row>
        <row r="4">
          <cell r="A4" t="str">
            <v>SmartPhone</v>
          </cell>
          <cell r="B4">
            <v>8000</v>
          </cell>
          <cell r="C4">
            <v>9000</v>
          </cell>
          <cell r="D4">
            <v>8500</v>
          </cell>
          <cell r="E4">
            <v>8800</v>
          </cell>
          <cell r="F4">
            <v>2000</v>
          </cell>
          <cell r="G4">
            <v>2200</v>
          </cell>
          <cell r="H4">
            <v>2100</v>
          </cell>
          <cell r="I4">
            <v>2300</v>
          </cell>
        </row>
        <row r="5">
          <cell r="A5" t="str">
            <v>Tablet</v>
          </cell>
          <cell r="B5">
            <v>13000</v>
          </cell>
          <cell r="C5">
            <v>12000</v>
          </cell>
          <cell r="D5">
            <v>13500</v>
          </cell>
          <cell r="E5">
            <v>14500</v>
          </cell>
          <cell r="F5">
            <v>4000</v>
          </cell>
          <cell r="G5">
            <v>3500</v>
          </cell>
          <cell r="H5">
            <v>4200</v>
          </cell>
          <cell r="I5">
            <v>4500</v>
          </cell>
        </row>
        <row r="6">
          <cell r="A6" t="str">
            <v>Headphones</v>
          </cell>
          <cell r="B6">
            <v>11000</v>
          </cell>
          <cell r="C6">
            <v>10000</v>
          </cell>
          <cell r="D6">
            <v>11500</v>
          </cell>
          <cell r="E6">
            <v>12000</v>
          </cell>
          <cell r="F6">
            <v>2800</v>
          </cell>
          <cell r="G6">
            <v>2500</v>
          </cell>
          <cell r="H6">
            <v>3000</v>
          </cell>
          <cell r="I6">
            <v>3200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609.922259722225" createdVersion="3" refreshedVersion="3" minRefreshableVersion="3" recordCount="10">
  <cacheSource type="worksheet">
    <worksheetSource ref="A3:F13" sheet="Que. 15"/>
  </cacheSource>
  <cacheFields count="6">
    <cacheField name="Roll No." numFmtId="0">
      <sharedItems containsSemiMixedTypes="0" containsString="0" containsNumber="1" containsInteger="1" minValue="1" maxValue="10"/>
    </cacheField>
    <cacheField name="Students Name" numFmtId="0">
      <sharedItems count="10">
        <s v="Purav Parikh"/>
        <s v="Krish Desai"/>
        <s v="Heer Gohil "/>
        <s v="Bansari Patel"/>
        <s v="Dipti Parmar"/>
        <s v="Mayur Solanki"/>
        <s v="Pushti Panchal"/>
        <s v="Ansh Dave"/>
        <s v="Hetansh Gohil"/>
        <s v="Himakshi Rathod"/>
      </sharedItems>
    </cacheField>
    <cacheField name="Math" numFmtId="0">
      <sharedItems containsSemiMixedTypes="0" containsString="0" containsNumber="1" containsInteger="1" minValue="33" maxValue="87"/>
    </cacheField>
    <cacheField name="English" numFmtId="0">
      <sharedItems containsSemiMixedTypes="0" containsString="0" containsNumber="1" containsInteger="1" minValue="39" maxValue="88"/>
    </cacheField>
    <cacheField name="Science" numFmtId="0">
      <sharedItems containsSemiMixedTypes="0" containsString="0" containsNumber="1" containsInteger="1" minValue="35" maxValue="92"/>
    </cacheField>
    <cacheField name="Social Science" numFmtId="0">
      <sharedItems containsSemiMixedTypes="0" containsString="0" containsNumber="1" containsInteger="1" minValue="32" maxValue="73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609.927028819446" createdVersion="3" refreshedVersion="3" minRefreshableVersion="3" recordCount="10">
  <cacheSource type="worksheet">
    <worksheetSource ref="A3:F13" sheet="Que. 16"/>
  </cacheSource>
  <cacheFields count="6">
    <cacheField name="Roll No." numFmtId="0">
      <sharedItems containsSemiMixedTypes="0" containsString="0" containsNumber="1" containsInteger="1" minValue="1" maxValue="10"/>
    </cacheField>
    <cacheField name="Students Name" numFmtId="0">
      <sharedItems count="10">
        <s v="Purav Parikh"/>
        <s v="Krish Desai"/>
        <s v="Heer Gohil "/>
        <s v="Bansari Patel"/>
        <s v="Dipti Parmar"/>
        <s v="Mayur Solanki"/>
        <s v="Pushti Panchal"/>
        <s v="Ansh Dave"/>
        <s v="Hetansh Gohil"/>
        <s v="Himakshi Rathod"/>
      </sharedItems>
    </cacheField>
    <cacheField name="Math" numFmtId="0">
      <sharedItems containsSemiMixedTypes="0" containsString="0" containsNumber="1" containsInteger="1" minValue="33" maxValue="87"/>
    </cacheField>
    <cacheField name="English" numFmtId="0">
      <sharedItems containsSemiMixedTypes="0" containsString="0" containsNumber="1" containsInteger="1" minValue="39" maxValue="88"/>
    </cacheField>
    <cacheField name="Science" numFmtId="0">
      <sharedItems containsSemiMixedTypes="0" containsString="0" containsNumber="1" containsInteger="1" minValue="35" maxValue="92"/>
    </cacheField>
    <cacheField name="Social Science" numFmtId="0">
      <sharedItems containsSemiMixedTypes="0" containsString="0" containsNumber="1" containsInteger="1" minValue="32" maxValue="7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n v="1"/>
    <x v="0"/>
    <n v="44"/>
    <n v="47"/>
    <n v="56"/>
    <n v="73"/>
  </r>
  <r>
    <n v="2"/>
    <x v="1"/>
    <n v="33"/>
    <n v="59"/>
    <n v="88"/>
    <n v="38"/>
  </r>
  <r>
    <n v="3"/>
    <x v="2"/>
    <n v="45"/>
    <n v="83"/>
    <n v="35"/>
    <n v="63"/>
  </r>
  <r>
    <n v="4"/>
    <x v="3"/>
    <n v="66"/>
    <n v="52"/>
    <n v="63"/>
    <n v="55"/>
  </r>
  <r>
    <n v="5"/>
    <x v="4"/>
    <n v="36"/>
    <n v="88"/>
    <n v="83"/>
    <n v="32"/>
  </r>
  <r>
    <n v="6"/>
    <x v="5"/>
    <n v="67"/>
    <n v="54"/>
    <n v="57"/>
    <n v="53"/>
  </r>
  <r>
    <n v="7"/>
    <x v="6"/>
    <n v="54"/>
    <n v="64"/>
    <n v="63"/>
    <n v="66"/>
  </r>
  <r>
    <n v="8"/>
    <x v="7"/>
    <n v="87"/>
    <n v="81"/>
    <n v="86"/>
    <n v="54"/>
  </r>
  <r>
    <n v="9"/>
    <x v="8"/>
    <n v="69"/>
    <n v="68"/>
    <n v="35"/>
    <n v="58"/>
  </r>
  <r>
    <n v="10"/>
    <x v="9"/>
    <n v="55"/>
    <n v="39"/>
    <n v="92"/>
    <n v="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">
  <r>
    <n v="1"/>
    <x v="0"/>
    <n v="44"/>
    <n v="47"/>
    <n v="56"/>
    <n v="73"/>
  </r>
  <r>
    <n v="2"/>
    <x v="1"/>
    <n v="33"/>
    <n v="59"/>
    <n v="88"/>
    <n v="38"/>
  </r>
  <r>
    <n v="3"/>
    <x v="2"/>
    <n v="45"/>
    <n v="83"/>
    <n v="35"/>
    <n v="63"/>
  </r>
  <r>
    <n v="4"/>
    <x v="3"/>
    <n v="66"/>
    <n v="52"/>
    <n v="63"/>
    <n v="55"/>
  </r>
  <r>
    <n v="5"/>
    <x v="4"/>
    <n v="36"/>
    <n v="88"/>
    <n v="83"/>
    <n v="32"/>
  </r>
  <r>
    <n v="6"/>
    <x v="5"/>
    <n v="67"/>
    <n v="54"/>
    <n v="57"/>
    <n v="53"/>
  </r>
  <r>
    <n v="7"/>
    <x v="6"/>
    <n v="54"/>
    <n v="64"/>
    <n v="63"/>
    <n v="66"/>
  </r>
  <r>
    <n v="8"/>
    <x v="7"/>
    <n v="87"/>
    <n v="81"/>
    <n v="86"/>
    <n v="54"/>
  </r>
  <r>
    <n v="9"/>
    <x v="8"/>
    <n v="69"/>
    <n v="68"/>
    <n v="35"/>
    <n v="58"/>
  </r>
  <r>
    <n v="10"/>
    <x v="9"/>
    <n v="55"/>
    <n v="39"/>
    <n v="92"/>
    <n v="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E15" firstHeaderRow="1" firstDataRow="2" firstDataCol="1"/>
  <pivotFields count="6">
    <pivotField showAll="0"/>
    <pivotField axis="axisRow" showAll="0">
      <items count="11">
        <item x="7"/>
        <item x="3"/>
        <item x="4"/>
        <item x="2"/>
        <item x="8"/>
        <item x="9"/>
        <item x="1"/>
        <item x="5"/>
        <item x="0"/>
        <item x="6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Math" fld="2" baseField="0" baseItem="0"/>
    <dataField name="Sum of English" fld="3" baseField="0" baseItem="0"/>
    <dataField name="Sum of Science" fld="4" baseField="0" baseItem="0"/>
    <dataField name="Sum of Social Science" fld="5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3:E15" firstHeaderRow="1" firstDataRow="2" firstDataCol="1"/>
  <pivotFields count="6">
    <pivotField showAll="0"/>
    <pivotField axis="axisRow" showAll="0">
      <items count="11">
        <item x="7"/>
        <item x="3"/>
        <item x="4"/>
        <item x="2"/>
        <item x="8"/>
        <item x="9"/>
        <item x="1"/>
        <item x="5"/>
        <item x="0"/>
        <item x="6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Math" fld="2" baseField="0" baseItem="0"/>
    <dataField name="Sum of English" fld="3" baseField="0" baseItem="0"/>
    <dataField name="Sum of Science" fld="4" baseField="0" baseItem="0"/>
    <dataField name="Sum of Social Science" fld="5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A2:E12" totalsRowShown="0" headerRowDxfId="16" dataDxfId="14" headerRowBorderDxfId="15" tableBorderDxfId="13" totalsRowBorderDxfId="12">
  <autoFilter ref="A2:E12"/>
  <tableColumns count="5">
    <tableColumn id="1" name="Sr. No " dataDxfId="11"/>
    <tableColumn id="2" name="Students Name" dataDxfId="10"/>
    <tableColumn id="3" name="Contact No" dataDxfId="9"/>
    <tableColumn id="4" name="Gender" dataDxfId="8"/>
    <tableColumn id="5" name="Date of Birth" dataDxfId="7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5:C21" totalsRowShown="0" headerRowDxfId="6" headerRowBorderDxfId="5" tableBorderDxfId="4" totalsRowBorderDxfId="3">
  <autoFilter ref="A15:C21"/>
  <tableColumns count="3">
    <tableColumn id="1" name="Feature" dataDxfId="2"/>
    <tableColumn id="2" name="Auto Formatting" dataDxfId="1"/>
    <tableColumn id="3" name="Manual Formatting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27"/>
  <sheetViews>
    <sheetView tabSelected="1" workbookViewId="0">
      <selection sqref="A1:XFD1"/>
    </sheetView>
  </sheetViews>
  <sheetFormatPr defaultRowHeight="15"/>
  <cols>
    <col min="1" max="1" width="7.5703125" style="1" customWidth="1"/>
    <col min="2" max="2" width="33.28515625" style="1" customWidth="1"/>
    <col min="3" max="3" width="18" style="1" customWidth="1"/>
    <col min="4" max="16384" width="9.140625" style="1"/>
  </cols>
  <sheetData>
    <row r="1" spans="1:3" ht="77.25" customHeight="1" thickBot="1">
      <c r="A1" s="121" t="s">
        <v>19</v>
      </c>
      <c r="B1" s="122"/>
      <c r="C1" s="123"/>
    </row>
    <row r="2" spans="1:3" ht="36">
      <c r="A2" s="2" t="s">
        <v>0</v>
      </c>
      <c r="B2" s="2" t="s">
        <v>1</v>
      </c>
      <c r="C2" s="2" t="s">
        <v>2</v>
      </c>
    </row>
    <row r="3" spans="1:3" ht="15.75">
      <c r="A3" s="3">
        <v>1</v>
      </c>
      <c r="B3" s="4" t="s">
        <v>3</v>
      </c>
      <c r="C3" s="5">
        <v>35136</v>
      </c>
    </row>
    <row r="4" spans="1:3" ht="31.5">
      <c r="A4" s="3">
        <v>2</v>
      </c>
      <c r="B4" s="4" t="s">
        <v>4</v>
      </c>
      <c r="C4" s="6">
        <v>44319</v>
      </c>
    </row>
    <row r="5" spans="1:3" ht="31.5">
      <c r="A5" s="3">
        <v>3</v>
      </c>
      <c r="B5" s="4" t="s">
        <v>4</v>
      </c>
      <c r="C5" s="3" t="s">
        <v>5</v>
      </c>
    </row>
    <row r="6" spans="1:3" ht="31.5">
      <c r="A6" s="3">
        <v>4</v>
      </c>
      <c r="B6" s="4" t="s">
        <v>6</v>
      </c>
      <c r="C6" s="5">
        <v>35136</v>
      </c>
    </row>
    <row r="7" spans="1:3" ht="31.5">
      <c r="A7" s="3">
        <v>5</v>
      </c>
      <c r="B7" s="4" t="s">
        <v>4</v>
      </c>
      <c r="C7" s="6">
        <v>44319</v>
      </c>
    </row>
    <row r="8" spans="1:3" ht="31.5">
      <c r="A8" s="3">
        <v>6</v>
      </c>
      <c r="B8" s="4" t="s">
        <v>7</v>
      </c>
      <c r="C8" s="3"/>
    </row>
    <row r="9" spans="1:3" ht="15.75">
      <c r="A9" s="3">
        <v>7</v>
      </c>
      <c r="B9" s="4"/>
      <c r="C9" s="3"/>
    </row>
    <row r="10" spans="1:3" ht="63">
      <c r="A10" s="3">
        <v>8</v>
      </c>
      <c r="B10" s="4" t="s">
        <v>8</v>
      </c>
      <c r="C10" s="5">
        <v>35136</v>
      </c>
    </row>
    <row r="11" spans="1:3" ht="15.75">
      <c r="A11" s="3">
        <v>9</v>
      </c>
      <c r="B11" s="4"/>
      <c r="C11" s="6">
        <v>44319</v>
      </c>
    </row>
    <row r="12" spans="1:3" ht="31.5">
      <c r="A12" s="3">
        <v>10</v>
      </c>
      <c r="B12" s="4" t="s">
        <v>9</v>
      </c>
      <c r="C12" s="3" t="s">
        <v>5</v>
      </c>
    </row>
    <row r="13" spans="1:3" ht="31.5">
      <c r="A13" s="3">
        <v>11</v>
      </c>
      <c r="B13" s="4" t="s">
        <v>10</v>
      </c>
      <c r="C13" s="3"/>
    </row>
    <row r="14" spans="1:3" ht="15.75">
      <c r="A14" s="3">
        <v>12</v>
      </c>
      <c r="B14" s="4"/>
      <c r="C14" s="5">
        <v>35136</v>
      </c>
    </row>
    <row r="15" spans="1:3" ht="15.75">
      <c r="A15" s="3">
        <v>13</v>
      </c>
      <c r="B15" s="4" t="s">
        <v>11</v>
      </c>
      <c r="C15" s="3"/>
    </row>
    <row r="16" spans="1:3" ht="31.5">
      <c r="A16" s="3">
        <v>14</v>
      </c>
      <c r="B16" s="4" t="s">
        <v>12</v>
      </c>
      <c r="C16" s="6">
        <v>44319</v>
      </c>
    </row>
    <row r="17" spans="1:3" ht="31.5">
      <c r="A17" s="3">
        <v>15</v>
      </c>
      <c r="B17" s="4" t="s">
        <v>13</v>
      </c>
      <c r="C17" s="3" t="s">
        <v>5</v>
      </c>
    </row>
    <row r="18" spans="1:3" ht="47.25">
      <c r="A18" s="3">
        <v>16</v>
      </c>
      <c r="B18" s="4" t="s">
        <v>14</v>
      </c>
      <c r="C18" s="3"/>
    </row>
    <row r="19" spans="1:3" ht="15.75">
      <c r="A19" s="3">
        <v>17</v>
      </c>
      <c r="B19" s="4"/>
      <c r="C19" s="3"/>
    </row>
    <row r="20" spans="1:3" ht="15.75">
      <c r="A20" s="3">
        <v>18</v>
      </c>
      <c r="B20" s="4"/>
      <c r="C20" s="5">
        <v>35136</v>
      </c>
    </row>
    <row r="21" spans="1:3" ht="47.25">
      <c r="A21" s="3">
        <v>19</v>
      </c>
      <c r="B21" s="4" t="s">
        <v>15</v>
      </c>
      <c r="C21" s="3"/>
    </row>
    <row r="22" spans="1:3" ht="31.5">
      <c r="A22" s="3">
        <v>20</v>
      </c>
      <c r="B22" s="4" t="s">
        <v>16</v>
      </c>
      <c r="C22" s="3" t="s">
        <v>5</v>
      </c>
    </row>
    <row r="23" spans="1:3" ht="15.75">
      <c r="A23" s="3">
        <v>21</v>
      </c>
      <c r="B23" s="4"/>
      <c r="C23" s="3"/>
    </row>
    <row r="24" spans="1:3" ht="15.75">
      <c r="A24" s="3">
        <v>22</v>
      </c>
      <c r="B24" s="4"/>
      <c r="C24" s="3"/>
    </row>
    <row r="25" spans="1:3" ht="47.25">
      <c r="A25" s="3">
        <v>23</v>
      </c>
      <c r="B25" s="4" t="s">
        <v>17</v>
      </c>
      <c r="C25" s="5">
        <v>35136</v>
      </c>
    </row>
    <row r="26" spans="1:3" ht="15.75">
      <c r="A26" s="3">
        <v>24</v>
      </c>
      <c r="B26" s="4"/>
      <c r="C26" s="3"/>
    </row>
    <row r="27" spans="1:3" ht="47.25">
      <c r="A27" s="3">
        <v>25</v>
      </c>
      <c r="B27" s="4" t="s">
        <v>18</v>
      </c>
      <c r="C27" s="3" t="s">
        <v>5</v>
      </c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5"/>
  <sheetViews>
    <sheetView workbookViewId="0">
      <selection sqref="A1:XFD1"/>
    </sheetView>
  </sheetViews>
  <sheetFormatPr defaultRowHeight="15"/>
  <cols>
    <col min="1" max="1" width="7.5703125" customWidth="1"/>
    <col min="2" max="2" width="33.28515625" customWidth="1"/>
    <col min="3" max="3" width="22" hidden="1" customWidth="1"/>
    <col min="4" max="4" width="14.42578125" customWidth="1"/>
    <col min="5" max="5" width="13.5703125" hidden="1" customWidth="1"/>
  </cols>
  <sheetData>
    <row r="1" spans="1:5" ht="77.25" customHeight="1" thickBot="1">
      <c r="A1" s="124" t="s">
        <v>41</v>
      </c>
      <c r="B1" s="125"/>
      <c r="C1" s="125"/>
      <c r="D1" s="125"/>
      <c r="E1" s="126"/>
    </row>
    <row r="2" spans="1:5" ht="36">
      <c r="A2" s="13" t="s">
        <v>0</v>
      </c>
      <c r="B2" s="14" t="s">
        <v>20</v>
      </c>
      <c r="C2" s="15" t="s">
        <v>21</v>
      </c>
      <c r="D2" s="15" t="s">
        <v>22</v>
      </c>
      <c r="E2" s="15" t="s">
        <v>23</v>
      </c>
    </row>
    <row r="3" spans="1:5" ht="15.75" hidden="1">
      <c r="A3" s="3">
        <v>1</v>
      </c>
      <c r="B3" s="7" t="s">
        <v>30</v>
      </c>
      <c r="C3" s="8">
        <v>8200339283</v>
      </c>
      <c r="D3" s="9" t="s">
        <v>38</v>
      </c>
      <c r="E3" s="9" t="s">
        <v>24</v>
      </c>
    </row>
    <row r="4" spans="1:5" ht="15.75" hidden="1">
      <c r="A4" s="3">
        <v>2</v>
      </c>
      <c r="B4" s="7" t="s">
        <v>31</v>
      </c>
      <c r="C4" s="10">
        <v>9728301244</v>
      </c>
      <c r="D4" s="9" t="s">
        <v>38</v>
      </c>
      <c r="E4" s="11">
        <v>36954</v>
      </c>
    </row>
    <row r="5" spans="1:5" ht="15.75">
      <c r="A5" s="3">
        <v>3</v>
      </c>
      <c r="B5" s="7" t="s">
        <v>32</v>
      </c>
      <c r="C5" s="10">
        <v>8920341202</v>
      </c>
      <c r="D5" s="12" t="s">
        <v>39</v>
      </c>
      <c r="E5" s="11">
        <v>36111</v>
      </c>
    </row>
    <row r="6" spans="1:5" ht="15.75" hidden="1">
      <c r="A6" s="3">
        <v>4</v>
      </c>
      <c r="B6" s="7" t="s">
        <v>33</v>
      </c>
      <c r="C6" s="8">
        <v>8433562522</v>
      </c>
      <c r="D6" s="12" t="s">
        <v>39</v>
      </c>
      <c r="E6" s="9" t="s">
        <v>25</v>
      </c>
    </row>
    <row r="7" spans="1:5" ht="15.75">
      <c r="A7" s="3">
        <v>5</v>
      </c>
      <c r="B7" s="7" t="s">
        <v>34</v>
      </c>
      <c r="C7" s="10">
        <v>6345632322</v>
      </c>
      <c r="D7" s="12" t="s">
        <v>39</v>
      </c>
      <c r="E7" s="9" t="s">
        <v>26</v>
      </c>
    </row>
    <row r="8" spans="1:5" ht="15.75">
      <c r="A8" s="3">
        <v>6</v>
      </c>
      <c r="B8" s="7" t="s">
        <v>35</v>
      </c>
      <c r="C8" s="10">
        <v>8905463222</v>
      </c>
      <c r="D8" s="12" t="s">
        <v>38</v>
      </c>
      <c r="E8" s="9" t="s">
        <v>27</v>
      </c>
    </row>
    <row r="9" spans="1:5" ht="15.75" hidden="1">
      <c r="A9" s="3">
        <v>7</v>
      </c>
      <c r="B9" s="7" t="s">
        <v>44</v>
      </c>
      <c r="C9" s="10">
        <v>9033246543</v>
      </c>
      <c r="D9" s="9" t="s">
        <v>39</v>
      </c>
      <c r="E9" s="9" t="s">
        <v>45</v>
      </c>
    </row>
    <row r="10" spans="1:5" ht="15.75" hidden="1">
      <c r="A10" s="3">
        <v>8</v>
      </c>
      <c r="B10" s="7" t="s">
        <v>36</v>
      </c>
      <c r="C10" s="8">
        <v>7365492821</v>
      </c>
      <c r="D10" s="9" t="s">
        <v>38</v>
      </c>
      <c r="E10" s="9" t="s">
        <v>28</v>
      </c>
    </row>
    <row r="11" spans="1:5" ht="15.75">
      <c r="A11" s="3">
        <v>9</v>
      </c>
      <c r="B11" s="7" t="s">
        <v>37</v>
      </c>
      <c r="C11" s="10">
        <v>9099343023</v>
      </c>
      <c r="D11" s="9" t="s">
        <v>38</v>
      </c>
      <c r="E11" s="11">
        <v>36619</v>
      </c>
    </row>
    <row r="12" spans="1:5" ht="15.75">
      <c r="A12" s="3">
        <v>10</v>
      </c>
      <c r="B12" s="7" t="s">
        <v>40</v>
      </c>
      <c r="C12" s="10">
        <v>9562433623</v>
      </c>
      <c r="D12" s="9" t="s">
        <v>39</v>
      </c>
      <c r="E12" s="9" t="s">
        <v>29</v>
      </c>
    </row>
    <row r="14" spans="1:5" ht="27" customHeight="1">
      <c r="A14" s="127" t="s">
        <v>42</v>
      </c>
      <c r="B14" s="127"/>
      <c r="C14" s="127"/>
      <c r="D14" s="127"/>
    </row>
    <row r="15" spans="1:5" ht="39.75" customHeight="1">
      <c r="A15" s="128" t="s">
        <v>43</v>
      </c>
      <c r="B15" s="128"/>
      <c r="C15" s="128"/>
      <c r="D15" s="128"/>
    </row>
  </sheetData>
  <mergeCells count="3">
    <mergeCell ref="A1:E1"/>
    <mergeCell ref="A14:D14"/>
    <mergeCell ref="A15:D1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3"/>
  <sheetViews>
    <sheetView workbookViewId="0">
      <selection sqref="A1:XFD1"/>
    </sheetView>
  </sheetViews>
  <sheetFormatPr defaultRowHeight="15"/>
  <cols>
    <col min="1" max="1" width="7.5703125" style="1" customWidth="1"/>
    <col min="2" max="2" width="33.28515625" style="1" customWidth="1"/>
    <col min="3" max="3" width="22" style="1" customWidth="1"/>
    <col min="4" max="4" width="12.140625" style="1" customWidth="1"/>
    <col min="5" max="5" width="13.5703125" style="1" customWidth="1"/>
    <col min="6" max="16384" width="9.140625" style="1"/>
  </cols>
  <sheetData>
    <row r="1" spans="1:5" ht="77.25" customHeight="1" thickBot="1">
      <c r="A1" s="124" t="s">
        <v>46</v>
      </c>
      <c r="B1" s="125"/>
      <c r="C1" s="125"/>
      <c r="D1" s="125"/>
      <c r="E1" s="126"/>
    </row>
    <row r="2" spans="1:5" ht="36">
      <c r="A2" s="13" t="s">
        <v>0</v>
      </c>
      <c r="B2" s="14" t="s">
        <v>20</v>
      </c>
      <c r="C2" s="15" t="s">
        <v>21</v>
      </c>
      <c r="D2" s="15" t="s">
        <v>22</v>
      </c>
      <c r="E2" s="15" t="s">
        <v>23</v>
      </c>
    </row>
    <row r="3" spans="1:5" ht="15.75">
      <c r="A3" s="3">
        <v>1</v>
      </c>
      <c r="B3" s="17" t="s">
        <v>30</v>
      </c>
      <c r="C3" s="8">
        <v>8200339283</v>
      </c>
      <c r="D3" s="9" t="s">
        <v>38</v>
      </c>
      <c r="E3" s="9" t="s">
        <v>24</v>
      </c>
    </row>
    <row r="4" spans="1:5" ht="16.5" thickBot="1">
      <c r="A4" s="3">
        <v>2</v>
      </c>
      <c r="B4" s="18" t="s">
        <v>31</v>
      </c>
      <c r="C4" s="10">
        <v>9728301244</v>
      </c>
      <c r="D4" s="9" t="s">
        <v>38</v>
      </c>
      <c r="E4" s="11">
        <v>36954</v>
      </c>
    </row>
    <row r="5" spans="1:5" ht="17.25" thickTop="1" thickBot="1">
      <c r="A5" s="3">
        <v>3</v>
      </c>
      <c r="B5" s="16" t="s">
        <v>32</v>
      </c>
      <c r="C5" s="10">
        <v>8920341202</v>
      </c>
      <c r="D5" s="12" t="s">
        <v>39</v>
      </c>
      <c r="E5" s="11">
        <v>36111</v>
      </c>
    </row>
    <row r="6" spans="1:5" ht="21" thickTop="1" thickBot="1">
      <c r="A6" s="3">
        <v>4</v>
      </c>
      <c r="B6" s="19" t="s">
        <v>33</v>
      </c>
      <c r="C6" s="8">
        <v>8433562522</v>
      </c>
      <c r="D6" s="12" t="s">
        <v>39</v>
      </c>
      <c r="E6" s="9" t="s">
        <v>25</v>
      </c>
    </row>
    <row r="7" spans="1:5" ht="17.25" thickTop="1" thickBot="1">
      <c r="A7" s="3">
        <v>5</v>
      </c>
      <c r="B7" s="22" t="s">
        <v>34</v>
      </c>
      <c r="C7" s="10">
        <v>6345632322</v>
      </c>
      <c r="D7" s="12" t="s">
        <v>39</v>
      </c>
      <c r="E7" s="9" t="s">
        <v>26</v>
      </c>
    </row>
    <row r="8" spans="1:5" ht="16.5" thickBot="1">
      <c r="A8" s="20">
        <v>6</v>
      </c>
      <c r="B8" s="24" t="s">
        <v>35</v>
      </c>
      <c r="C8" s="21">
        <v>8905463222</v>
      </c>
      <c r="D8" s="12" t="s">
        <v>38</v>
      </c>
      <c r="E8" s="9" t="s">
        <v>27</v>
      </c>
    </row>
    <row r="9" spans="1:5" ht="15.75">
      <c r="A9" s="3">
        <v>7</v>
      </c>
      <c r="B9" s="26" t="s">
        <v>44</v>
      </c>
      <c r="C9" s="10">
        <v>9033246543</v>
      </c>
      <c r="D9" s="9" t="s">
        <v>39</v>
      </c>
      <c r="E9" s="9" t="s">
        <v>45</v>
      </c>
    </row>
    <row r="10" spans="1:5" ht="15.75">
      <c r="A10" s="20">
        <v>8</v>
      </c>
      <c r="B10" s="27" t="s">
        <v>36</v>
      </c>
      <c r="C10" s="25">
        <v>7365492821</v>
      </c>
      <c r="D10" s="9" t="s">
        <v>38</v>
      </c>
      <c r="E10" s="9" t="s">
        <v>28</v>
      </c>
    </row>
    <row r="11" spans="1:5" ht="15.75">
      <c r="A11" s="3">
        <v>9</v>
      </c>
      <c r="B11" s="23" t="s">
        <v>37</v>
      </c>
      <c r="C11" s="10">
        <v>9099343023</v>
      </c>
      <c r="D11" s="9" t="s">
        <v>38</v>
      </c>
      <c r="E11" s="11">
        <v>36619</v>
      </c>
    </row>
    <row r="12" spans="1:5" ht="16.5" thickBot="1">
      <c r="A12" s="3">
        <v>10</v>
      </c>
      <c r="B12" s="28" t="s">
        <v>40</v>
      </c>
      <c r="C12" s="10">
        <v>9562433623</v>
      </c>
      <c r="D12" s="9" t="s">
        <v>39</v>
      </c>
      <c r="E12" s="9" t="s">
        <v>29</v>
      </c>
    </row>
    <row r="13" spans="1:5" ht="15.75" thickTop="1"/>
  </sheetData>
  <mergeCells count="1">
    <mergeCell ref="A1:E1"/>
  </mergeCells>
  <conditionalFormatting sqref="C7">
    <cfRule type="dataBar" priority="6">
      <dataBar>
        <cfvo type="min" val="0"/>
        <cfvo type="max" val="0"/>
        <color rgb="FF638EC6"/>
      </dataBar>
    </cfRule>
  </conditionalFormatting>
  <conditionalFormatting sqref="B5">
    <cfRule type="dataBar" priority="5">
      <dataBar>
        <cfvo type="min" val="0"/>
        <cfvo type="max" val="0"/>
        <color rgb="FFFFB628"/>
      </dataBar>
    </cfRule>
  </conditionalFormatting>
  <conditionalFormatting sqref="B3:B12">
    <cfRule type="dataBar" priority="4">
      <dataBar>
        <cfvo type="min" val="0"/>
        <cfvo type="max" val="0"/>
        <color rgb="FF63C384"/>
      </dataBar>
    </cfRule>
  </conditionalFormatting>
  <conditionalFormatting sqref="B3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3">
    <cfRule type="dataBar" priority="2">
      <dataBar>
        <cfvo type="min" val="0"/>
        <cfvo type="max" val="0"/>
        <color rgb="FF638EC6"/>
      </dataBar>
    </cfRule>
  </conditionalFormatting>
  <conditionalFormatting sqref="C3:C12">
    <cfRule type="colorScale" priority="1">
      <colorScale>
        <cfvo type="min" val="0"/>
        <cfvo type="max" val="0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21"/>
  <sheetViews>
    <sheetView workbookViewId="0">
      <selection sqref="A1:XFD1"/>
    </sheetView>
  </sheetViews>
  <sheetFormatPr defaultRowHeight="15"/>
  <cols>
    <col min="1" max="1" width="12.7109375" style="1" customWidth="1"/>
    <col min="2" max="2" width="33.28515625" style="1" customWidth="1"/>
    <col min="3" max="3" width="26.85546875" style="1" customWidth="1"/>
    <col min="4" max="4" width="12.140625" style="1" customWidth="1"/>
    <col min="5" max="5" width="18.85546875" style="1" customWidth="1"/>
    <col min="6" max="16384" width="9.140625" style="1"/>
  </cols>
  <sheetData>
    <row r="1" spans="1:5" ht="77.25" customHeight="1">
      <c r="A1" s="129" t="s">
        <v>47</v>
      </c>
      <c r="B1" s="130"/>
      <c r="C1" s="130"/>
      <c r="D1" s="130"/>
      <c r="E1" s="131"/>
    </row>
    <row r="2" spans="1:5" s="31" customFormat="1" ht="18">
      <c r="A2" s="35" t="s">
        <v>0</v>
      </c>
      <c r="B2" s="36" t="s">
        <v>20</v>
      </c>
      <c r="C2" s="36" t="s">
        <v>21</v>
      </c>
      <c r="D2" s="36" t="s">
        <v>22</v>
      </c>
      <c r="E2" s="37" t="s">
        <v>23</v>
      </c>
    </row>
    <row r="3" spans="1:5" ht="15.75">
      <c r="A3" s="32">
        <v>1</v>
      </c>
      <c r="B3" s="30" t="s">
        <v>30</v>
      </c>
      <c r="C3" s="30">
        <v>8200339283</v>
      </c>
      <c r="D3" s="30" t="s">
        <v>38</v>
      </c>
      <c r="E3" s="33" t="s">
        <v>24</v>
      </c>
    </row>
    <row r="4" spans="1:5" ht="15.75">
      <c r="A4" s="32">
        <v>2</v>
      </c>
      <c r="B4" s="30" t="s">
        <v>31</v>
      </c>
      <c r="C4" s="30">
        <v>9728301244</v>
      </c>
      <c r="D4" s="30" t="s">
        <v>38</v>
      </c>
      <c r="E4" s="34">
        <v>36954</v>
      </c>
    </row>
    <row r="5" spans="1:5" ht="15.75">
      <c r="A5" s="32">
        <v>3</v>
      </c>
      <c r="B5" s="30" t="s">
        <v>32</v>
      </c>
      <c r="C5" s="30">
        <v>8920341202</v>
      </c>
      <c r="D5" s="30" t="s">
        <v>39</v>
      </c>
      <c r="E5" s="34">
        <v>36111</v>
      </c>
    </row>
    <row r="6" spans="1:5" ht="15.75">
      <c r="A6" s="32">
        <v>4</v>
      </c>
      <c r="B6" s="30" t="s">
        <v>33</v>
      </c>
      <c r="C6" s="30">
        <v>8433562522</v>
      </c>
      <c r="D6" s="30" t="s">
        <v>39</v>
      </c>
      <c r="E6" s="33" t="s">
        <v>25</v>
      </c>
    </row>
    <row r="7" spans="1:5" ht="15.75">
      <c r="A7" s="32">
        <v>5</v>
      </c>
      <c r="B7" s="30" t="s">
        <v>34</v>
      </c>
      <c r="C7" s="30">
        <v>6345632322</v>
      </c>
      <c r="D7" s="30" t="s">
        <v>39</v>
      </c>
      <c r="E7" s="33" t="s">
        <v>26</v>
      </c>
    </row>
    <row r="8" spans="1:5" ht="15.75">
      <c r="A8" s="32">
        <v>6</v>
      </c>
      <c r="B8" s="30" t="s">
        <v>35</v>
      </c>
      <c r="C8" s="30">
        <v>8905463222</v>
      </c>
      <c r="D8" s="30" t="s">
        <v>38</v>
      </c>
      <c r="E8" s="33" t="s">
        <v>27</v>
      </c>
    </row>
    <row r="9" spans="1:5" ht="15.75">
      <c r="A9" s="32">
        <v>7</v>
      </c>
      <c r="B9" s="30" t="s">
        <v>44</v>
      </c>
      <c r="C9" s="30">
        <v>9033246543</v>
      </c>
      <c r="D9" s="30" t="s">
        <v>39</v>
      </c>
      <c r="E9" s="33" t="s">
        <v>45</v>
      </c>
    </row>
    <row r="10" spans="1:5" ht="15.75">
      <c r="A10" s="32">
        <v>8</v>
      </c>
      <c r="B10" s="30" t="s">
        <v>36</v>
      </c>
      <c r="C10" s="30">
        <v>7365492821</v>
      </c>
      <c r="D10" s="30" t="s">
        <v>38</v>
      </c>
      <c r="E10" s="33" t="s">
        <v>28</v>
      </c>
    </row>
    <row r="11" spans="1:5" ht="15.75">
      <c r="A11" s="32">
        <v>9</v>
      </c>
      <c r="B11" s="30" t="s">
        <v>37</v>
      </c>
      <c r="C11" s="30">
        <v>9099343023</v>
      </c>
      <c r="D11" s="30" t="s">
        <v>38</v>
      </c>
      <c r="E11" s="34">
        <v>36619</v>
      </c>
    </row>
    <row r="12" spans="1:5" ht="15.75">
      <c r="A12" s="38">
        <v>10</v>
      </c>
      <c r="B12" s="39" t="s">
        <v>40</v>
      </c>
      <c r="C12" s="39">
        <v>9562433623</v>
      </c>
      <c r="D12" s="39" t="s">
        <v>39</v>
      </c>
      <c r="E12" s="40" t="s">
        <v>29</v>
      </c>
    </row>
    <row r="14" spans="1:5" ht="45.75" customHeight="1">
      <c r="A14" s="132" t="s">
        <v>69</v>
      </c>
      <c r="B14" s="133"/>
      <c r="C14" s="134"/>
    </row>
    <row r="15" spans="1:5" ht="18">
      <c r="A15" s="35" t="s">
        <v>48</v>
      </c>
      <c r="B15" s="36" t="s">
        <v>49</v>
      </c>
      <c r="C15" s="37" t="s">
        <v>50</v>
      </c>
    </row>
    <row r="16" spans="1:5" ht="31.5">
      <c r="A16" s="44" t="s">
        <v>51</v>
      </c>
      <c r="B16" s="43" t="s">
        <v>52</v>
      </c>
      <c r="C16" s="45" t="s">
        <v>53</v>
      </c>
    </row>
    <row r="17" spans="1:3" ht="47.25">
      <c r="A17" s="44" t="s">
        <v>54</v>
      </c>
      <c r="B17" s="43" t="s">
        <v>55</v>
      </c>
      <c r="C17" s="45" t="s">
        <v>56</v>
      </c>
    </row>
    <row r="18" spans="1:3" ht="47.25">
      <c r="A18" s="44" t="s">
        <v>57</v>
      </c>
      <c r="B18" s="43" t="s">
        <v>58</v>
      </c>
      <c r="C18" s="45" t="s">
        <v>59</v>
      </c>
    </row>
    <row r="19" spans="1:3" ht="47.25">
      <c r="A19" s="44" t="s">
        <v>60</v>
      </c>
      <c r="B19" s="43" t="s">
        <v>61</v>
      </c>
      <c r="C19" s="45" t="s">
        <v>62</v>
      </c>
    </row>
    <row r="20" spans="1:3" ht="63">
      <c r="A20" s="44" t="s">
        <v>63</v>
      </c>
      <c r="B20" s="43" t="s">
        <v>64</v>
      </c>
      <c r="C20" s="45" t="s">
        <v>65</v>
      </c>
    </row>
    <row r="21" spans="1:3" ht="47.25">
      <c r="A21" s="46" t="s">
        <v>66</v>
      </c>
      <c r="B21" s="47" t="s">
        <v>67</v>
      </c>
      <c r="C21" s="48" t="s">
        <v>68</v>
      </c>
    </row>
  </sheetData>
  <mergeCells count="2">
    <mergeCell ref="A1:E1"/>
    <mergeCell ref="A14:C1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12"/>
  <sheetViews>
    <sheetView workbookViewId="0">
      <selection sqref="A1:XFD1"/>
    </sheetView>
  </sheetViews>
  <sheetFormatPr defaultRowHeight="15"/>
  <cols>
    <col min="1" max="1" width="10.7109375" style="1" customWidth="1"/>
    <col min="2" max="2" width="33.28515625" style="1" customWidth="1"/>
    <col min="3" max="3" width="22" style="1" customWidth="1"/>
    <col min="4" max="4" width="12.140625" style="1" customWidth="1"/>
    <col min="5" max="5" width="13.5703125" style="1" customWidth="1"/>
    <col min="6" max="6" width="11.7109375" style="1" customWidth="1"/>
    <col min="7" max="16384" width="9.140625" style="1"/>
  </cols>
  <sheetData>
    <row r="1" spans="1:6" ht="77.25" customHeight="1" thickBot="1">
      <c r="A1" s="135" t="s">
        <v>70</v>
      </c>
      <c r="B1" s="136"/>
      <c r="C1" s="136"/>
      <c r="D1" s="136"/>
      <c r="E1" s="136"/>
      <c r="F1" s="137"/>
    </row>
    <row r="2" spans="1:6" s="41" customFormat="1" ht="31.5">
      <c r="A2" s="52" t="s">
        <v>71</v>
      </c>
      <c r="B2" s="52" t="s">
        <v>72</v>
      </c>
      <c r="C2" s="52" t="s">
        <v>73</v>
      </c>
      <c r="D2" s="52" t="s">
        <v>74</v>
      </c>
      <c r="E2" s="52" t="s">
        <v>75</v>
      </c>
      <c r="F2" s="52" t="s">
        <v>76</v>
      </c>
    </row>
    <row r="3" spans="1:6" ht="15.75">
      <c r="A3" s="51" t="s">
        <v>77</v>
      </c>
      <c r="B3" s="51" t="s">
        <v>78</v>
      </c>
      <c r="C3" s="51" t="s">
        <v>79</v>
      </c>
      <c r="D3" s="51">
        <v>799</v>
      </c>
      <c r="E3" s="51">
        <v>50</v>
      </c>
      <c r="F3" s="51" t="s">
        <v>80</v>
      </c>
    </row>
    <row r="4" spans="1:6" ht="15.75">
      <c r="A4" s="51" t="s">
        <v>81</v>
      </c>
      <c r="B4" s="51" t="s">
        <v>82</v>
      </c>
      <c r="C4" s="51" t="s">
        <v>79</v>
      </c>
      <c r="D4" s="51">
        <v>699</v>
      </c>
      <c r="E4" s="51">
        <v>40</v>
      </c>
      <c r="F4" s="51" t="s">
        <v>80</v>
      </c>
    </row>
    <row r="5" spans="1:6" ht="15.75">
      <c r="A5" s="51" t="s">
        <v>83</v>
      </c>
      <c r="B5" s="51" t="s">
        <v>84</v>
      </c>
      <c r="C5" s="51" t="s">
        <v>85</v>
      </c>
      <c r="D5" s="51">
        <v>999</v>
      </c>
      <c r="E5" s="51">
        <v>30</v>
      </c>
      <c r="F5" s="51" t="s">
        <v>86</v>
      </c>
    </row>
    <row r="6" spans="1:6" ht="15.75">
      <c r="A6" s="51" t="s">
        <v>87</v>
      </c>
      <c r="B6" s="51" t="s">
        <v>88</v>
      </c>
      <c r="C6" s="51" t="s">
        <v>89</v>
      </c>
      <c r="D6" s="51">
        <v>120</v>
      </c>
      <c r="E6" s="51">
        <v>200</v>
      </c>
      <c r="F6" s="51" t="s">
        <v>90</v>
      </c>
    </row>
    <row r="7" spans="1:6" ht="15.75">
      <c r="A7" s="51" t="s">
        <v>91</v>
      </c>
      <c r="B7" s="51" t="s">
        <v>92</v>
      </c>
      <c r="C7" s="51" t="s">
        <v>89</v>
      </c>
      <c r="D7" s="51">
        <v>60</v>
      </c>
      <c r="E7" s="51">
        <v>150</v>
      </c>
      <c r="F7" s="51" t="s">
        <v>90</v>
      </c>
    </row>
    <row r="8" spans="1:6" ht="15.75">
      <c r="A8" s="51" t="s">
        <v>93</v>
      </c>
      <c r="B8" s="51" t="s">
        <v>94</v>
      </c>
      <c r="C8" s="51" t="s">
        <v>95</v>
      </c>
      <c r="D8" s="51">
        <v>85</v>
      </c>
      <c r="E8" s="51">
        <v>80</v>
      </c>
      <c r="F8" s="51" t="s">
        <v>96</v>
      </c>
    </row>
    <row r="9" spans="1:6" ht="15.75">
      <c r="A9" s="51" t="s">
        <v>97</v>
      </c>
      <c r="B9" s="51" t="s">
        <v>98</v>
      </c>
      <c r="C9" s="51" t="s">
        <v>99</v>
      </c>
      <c r="D9" s="51">
        <v>150</v>
      </c>
      <c r="E9" s="51">
        <v>20</v>
      </c>
      <c r="F9" s="51" t="s">
        <v>100</v>
      </c>
    </row>
    <row r="10" spans="1:6" ht="15.75">
      <c r="A10" s="51" t="s">
        <v>101</v>
      </c>
      <c r="B10" s="51" t="s">
        <v>102</v>
      </c>
      <c r="C10" s="51" t="s">
        <v>95</v>
      </c>
      <c r="D10" s="51">
        <v>45</v>
      </c>
      <c r="E10" s="51">
        <v>60</v>
      </c>
      <c r="F10" s="51" t="s">
        <v>96</v>
      </c>
    </row>
    <row r="11" spans="1:6" ht="15.75">
      <c r="A11" s="51" t="s">
        <v>103</v>
      </c>
      <c r="B11" s="51" t="s">
        <v>104</v>
      </c>
      <c r="C11" s="51" t="s">
        <v>79</v>
      </c>
      <c r="D11" s="51">
        <v>200</v>
      </c>
      <c r="E11" s="51">
        <v>75</v>
      </c>
      <c r="F11" s="51" t="s">
        <v>80</v>
      </c>
    </row>
    <row r="12" spans="1:6" ht="15.75">
      <c r="A12" s="51" t="s">
        <v>105</v>
      </c>
      <c r="B12" s="51" t="s">
        <v>106</v>
      </c>
      <c r="C12" s="51" t="s">
        <v>85</v>
      </c>
      <c r="D12" s="51">
        <v>25</v>
      </c>
      <c r="E12" s="51">
        <v>100</v>
      </c>
      <c r="F12" s="51" t="s">
        <v>86</v>
      </c>
    </row>
  </sheetData>
  <mergeCells count="1">
    <mergeCell ref="A1:F1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G14"/>
  <sheetViews>
    <sheetView workbookViewId="0">
      <selection sqref="A1:XFD1"/>
    </sheetView>
  </sheetViews>
  <sheetFormatPr defaultRowHeight="15"/>
  <cols>
    <col min="1" max="1" width="10.7109375" style="50" customWidth="1"/>
    <col min="2" max="2" width="18.140625" style="50" customWidth="1"/>
    <col min="3" max="3" width="16.140625" style="50" customWidth="1"/>
    <col min="4" max="4" width="14.5703125" style="50" customWidth="1"/>
    <col min="5" max="5" width="13.5703125" style="50" customWidth="1"/>
    <col min="6" max="6" width="11.7109375" style="50" customWidth="1"/>
    <col min="7" max="7" width="11.85546875" style="50" customWidth="1"/>
    <col min="8" max="16384" width="9.140625" style="50"/>
  </cols>
  <sheetData>
    <row r="1" spans="1:7" ht="77.25" customHeight="1">
      <c r="A1" s="138" t="s">
        <v>107</v>
      </c>
      <c r="B1" s="138"/>
      <c r="C1" s="138"/>
      <c r="D1" s="138"/>
      <c r="E1" s="138"/>
      <c r="F1" s="138"/>
      <c r="G1" s="138"/>
    </row>
    <row r="2" spans="1:7" ht="32.25" thickBot="1">
      <c r="A2" s="103" t="s">
        <v>109</v>
      </c>
      <c r="B2" s="104" t="s">
        <v>531</v>
      </c>
      <c r="C2" s="104" t="s">
        <v>110</v>
      </c>
      <c r="D2" s="104" t="s">
        <v>111</v>
      </c>
      <c r="E2" s="104" t="s">
        <v>112</v>
      </c>
      <c r="F2" s="104" t="s">
        <v>113</v>
      </c>
      <c r="G2" s="103" t="s">
        <v>134</v>
      </c>
    </row>
    <row r="3" spans="1:7" ht="17.25" thickTop="1" thickBot="1">
      <c r="A3" s="105" t="s">
        <v>117</v>
      </c>
      <c r="B3" s="106" t="s">
        <v>532</v>
      </c>
      <c r="C3" s="106">
        <v>15000</v>
      </c>
      <c r="D3" s="106">
        <v>14000</v>
      </c>
      <c r="E3" s="106">
        <v>14500</v>
      </c>
      <c r="F3" s="105">
        <v>15500</v>
      </c>
      <c r="G3" s="107">
        <f>SUM(C3:F3)</f>
        <v>59000</v>
      </c>
    </row>
    <row r="4" spans="1:7" ht="33" thickTop="1" thickBot="1">
      <c r="A4" s="105" t="s">
        <v>118</v>
      </c>
      <c r="B4" s="108" t="s">
        <v>533</v>
      </c>
      <c r="C4" s="108">
        <v>4000</v>
      </c>
      <c r="D4" s="108">
        <v>4500</v>
      </c>
      <c r="E4" s="108">
        <v>4200</v>
      </c>
      <c r="F4" s="109">
        <v>4800</v>
      </c>
      <c r="G4" s="107">
        <f t="shared" ref="G4:G12" si="0">SUM(C4:F4)</f>
        <v>17500</v>
      </c>
    </row>
    <row r="5" spans="1:7" ht="33" thickTop="1" thickBot="1">
      <c r="A5" s="105" t="s">
        <v>119</v>
      </c>
      <c r="B5" s="110" t="s">
        <v>534</v>
      </c>
      <c r="C5" s="110">
        <v>3000</v>
      </c>
      <c r="D5" s="110">
        <v>3200</v>
      </c>
      <c r="E5" s="110">
        <v>3100</v>
      </c>
      <c r="F5" s="111">
        <v>3300</v>
      </c>
      <c r="G5" s="107">
        <f t="shared" si="0"/>
        <v>12600</v>
      </c>
    </row>
    <row r="6" spans="1:7" ht="17.25" thickTop="1" thickBot="1">
      <c r="A6" s="105" t="s">
        <v>114</v>
      </c>
      <c r="B6" s="112" t="s">
        <v>533</v>
      </c>
      <c r="C6" s="112">
        <v>12000</v>
      </c>
      <c r="D6" s="112">
        <v>15000</v>
      </c>
      <c r="E6" s="112">
        <v>13000</v>
      </c>
      <c r="F6" s="105">
        <v>14000</v>
      </c>
      <c r="G6" s="107">
        <f t="shared" si="0"/>
        <v>54000</v>
      </c>
    </row>
    <row r="7" spans="1:7" ht="17.25" thickTop="1" thickBot="1">
      <c r="A7" s="105" t="s">
        <v>121</v>
      </c>
      <c r="B7" s="108" t="s">
        <v>532</v>
      </c>
      <c r="C7" s="108">
        <v>7000</v>
      </c>
      <c r="D7" s="108">
        <v>7500</v>
      </c>
      <c r="E7" s="108">
        <v>7400</v>
      </c>
      <c r="F7" s="109">
        <v>7800</v>
      </c>
      <c r="G7" s="107">
        <f t="shared" si="0"/>
        <v>29700</v>
      </c>
    </row>
    <row r="8" spans="1:7" ht="17.25" thickTop="1" thickBot="1">
      <c r="A8" s="105" t="s">
        <v>120</v>
      </c>
      <c r="B8" s="112" t="s">
        <v>535</v>
      </c>
      <c r="C8" s="112">
        <v>2500</v>
      </c>
      <c r="D8" s="112">
        <v>2700</v>
      </c>
      <c r="E8" s="112">
        <v>2600</v>
      </c>
      <c r="F8" s="105">
        <v>2800</v>
      </c>
      <c r="G8" s="107">
        <f t="shared" si="0"/>
        <v>10600</v>
      </c>
    </row>
    <row r="9" spans="1:7" ht="17.25" thickTop="1" thickBot="1">
      <c r="A9" s="105" t="s">
        <v>122</v>
      </c>
      <c r="B9" s="108" t="s">
        <v>533</v>
      </c>
      <c r="C9" s="108">
        <v>6000</v>
      </c>
      <c r="D9" s="108">
        <v>5800</v>
      </c>
      <c r="E9" s="108">
        <v>6200</v>
      </c>
      <c r="F9" s="109">
        <v>6400</v>
      </c>
      <c r="G9" s="107">
        <f t="shared" si="0"/>
        <v>24400</v>
      </c>
    </row>
    <row r="10" spans="1:7" ht="17.25" thickTop="1" thickBot="1">
      <c r="A10" s="105" t="s">
        <v>123</v>
      </c>
      <c r="B10" s="112" t="s">
        <v>534</v>
      </c>
      <c r="C10" s="112">
        <v>5000</v>
      </c>
      <c r="D10" s="112">
        <v>5200</v>
      </c>
      <c r="E10" s="112">
        <v>5100</v>
      </c>
      <c r="F10" s="105">
        <v>5300</v>
      </c>
      <c r="G10" s="107">
        <f t="shared" si="0"/>
        <v>20600</v>
      </c>
    </row>
    <row r="11" spans="1:7" ht="33" thickTop="1" thickBot="1">
      <c r="A11" s="105" t="s">
        <v>115</v>
      </c>
      <c r="B11" s="108" t="s">
        <v>534</v>
      </c>
      <c r="C11" s="108">
        <v>18000</v>
      </c>
      <c r="D11" s="108">
        <v>16000</v>
      </c>
      <c r="E11" s="108">
        <v>19000</v>
      </c>
      <c r="F11" s="109">
        <v>20000</v>
      </c>
      <c r="G11" s="107">
        <f t="shared" si="0"/>
        <v>73000</v>
      </c>
    </row>
    <row r="12" spans="1:7" ht="17.25" thickTop="1" thickBot="1">
      <c r="A12" s="105" t="s">
        <v>116</v>
      </c>
      <c r="B12" s="110" t="s">
        <v>535</v>
      </c>
      <c r="C12" s="110">
        <v>8000</v>
      </c>
      <c r="D12" s="110">
        <v>9000</v>
      </c>
      <c r="E12" s="110">
        <v>8500</v>
      </c>
      <c r="F12" s="111">
        <v>8800</v>
      </c>
      <c r="G12" s="107">
        <f t="shared" si="0"/>
        <v>34300</v>
      </c>
    </row>
    <row r="13" spans="1:7" ht="16.5" thickTop="1">
      <c r="A13" s="79"/>
      <c r="B13" s="113" t="s">
        <v>147</v>
      </c>
      <c r="C13" s="107">
        <f>SUM(C3:C12)</f>
        <v>80500</v>
      </c>
      <c r="D13" s="107">
        <f>SUM(D3:D12)</f>
        <v>82900</v>
      </c>
      <c r="E13" s="107">
        <f>SUM(E3:E12)</f>
        <v>83600</v>
      </c>
      <c r="F13" s="107">
        <f>SUM(F3:F12)</f>
        <v>88700</v>
      </c>
      <c r="G13" s="107"/>
    </row>
    <row r="14" spans="1:7" ht="15.75">
      <c r="A14" s="79"/>
      <c r="B14" s="113" t="s">
        <v>148</v>
      </c>
      <c r="C14" s="107">
        <f>AVERAGE(C2:C12)</f>
        <v>8050</v>
      </c>
      <c r="D14" s="107">
        <f t="shared" ref="D14:F14" si="1">AVERAGE(D2:D12)</f>
        <v>8290</v>
      </c>
      <c r="E14" s="107">
        <f t="shared" si="1"/>
        <v>8360</v>
      </c>
      <c r="F14" s="107">
        <f t="shared" si="1"/>
        <v>8870</v>
      </c>
      <c r="G14" s="107"/>
    </row>
  </sheetData>
  <mergeCells count="1">
    <mergeCell ref="A1:G1"/>
  </mergeCells>
  <conditionalFormatting sqref="C3:F12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M12"/>
  <sheetViews>
    <sheetView workbookViewId="0">
      <selection sqref="A1:XFD1"/>
    </sheetView>
  </sheetViews>
  <sheetFormatPr defaultRowHeight="15"/>
  <cols>
    <col min="1" max="1" width="10.5703125" customWidth="1"/>
    <col min="2" max="2" width="10.7109375" style="53" customWidth="1"/>
    <col min="3" max="3" width="11" style="53" customWidth="1"/>
    <col min="4" max="4" width="15.140625" customWidth="1"/>
    <col min="5" max="5" width="18.5703125" customWidth="1"/>
    <col min="6" max="6" width="14.85546875" customWidth="1"/>
    <col min="7" max="7" width="16.42578125" customWidth="1"/>
    <col min="8" max="9" width="16.42578125" style="53" customWidth="1"/>
    <col min="10" max="10" width="14.7109375" customWidth="1"/>
    <col min="11" max="11" width="13.85546875" customWidth="1"/>
    <col min="12" max="12" width="16.5703125" customWidth="1"/>
    <col min="13" max="13" width="11.85546875" customWidth="1"/>
  </cols>
  <sheetData>
    <row r="1" spans="1:13" ht="45" customHeight="1" thickBot="1">
      <c r="A1" s="135" t="s">
        <v>108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7"/>
    </row>
    <row r="2" spans="1:13" ht="31.5">
      <c r="A2" s="52" t="s">
        <v>109</v>
      </c>
      <c r="B2" s="52" t="s">
        <v>129</v>
      </c>
      <c r="C2" s="52" t="s">
        <v>124</v>
      </c>
      <c r="D2" s="52" t="s">
        <v>125</v>
      </c>
      <c r="E2" s="52" t="s">
        <v>126</v>
      </c>
      <c r="F2" s="52" t="s">
        <v>127</v>
      </c>
      <c r="G2" s="52" t="s">
        <v>128</v>
      </c>
      <c r="H2" s="52" t="s">
        <v>134</v>
      </c>
      <c r="I2" s="52" t="s">
        <v>135</v>
      </c>
      <c r="J2" s="55" t="s">
        <v>130</v>
      </c>
      <c r="K2" s="52" t="s">
        <v>132</v>
      </c>
      <c r="L2" s="52" t="s">
        <v>133</v>
      </c>
      <c r="M2" s="52" t="s">
        <v>131</v>
      </c>
    </row>
    <row r="3" spans="1:13" ht="15.75">
      <c r="A3" s="51" t="s">
        <v>114</v>
      </c>
      <c r="B3" s="51">
        <v>54000</v>
      </c>
      <c r="C3" s="51">
        <v>2</v>
      </c>
      <c r="D3" s="51">
        <v>120000</v>
      </c>
      <c r="E3" s="51">
        <v>0</v>
      </c>
      <c r="F3" s="51">
        <v>130000</v>
      </c>
      <c r="G3" s="51">
        <v>140000</v>
      </c>
      <c r="H3" s="51">
        <f>SUM(D3:G3)</f>
        <v>390000</v>
      </c>
      <c r="I3" s="51">
        <f>AVERAGE(D3:G3)</f>
        <v>97500</v>
      </c>
      <c r="J3" s="42">
        <f>D3+E3+F3+G3</f>
        <v>390000</v>
      </c>
      <c r="K3" s="42">
        <f>G3-D3</f>
        <v>20000</v>
      </c>
      <c r="L3" s="42">
        <f>B3*C3</f>
        <v>108000</v>
      </c>
      <c r="M3" s="42">
        <f>B3/C3</f>
        <v>27000</v>
      </c>
    </row>
    <row r="4" spans="1:13" ht="31.5">
      <c r="A4" s="51" t="s">
        <v>115</v>
      </c>
      <c r="B4" s="51">
        <v>18000</v>
      </c>
      <c r="C4" s="51">
        <v>4</v>
      </c>
      <c r="D4" s="51">
        <v>18000</v>
      </c>
      <c r="E4" s="51">
        <v>16000</v>
      </c>
      <c r="F4" s="51">
        <v>19000</v>
      </c>
      <c r="G4" s="51">
        <v>200000</v>
      </c>
      <c r="H4" s="51">
        <f t="shared" ref="H4:H12" si="0">SUM(D4:G4)</f>
        <v>253000</v>
      </c>
      <c r="I4" s="51">
        <f t="shared" ref="I4:I12" si="1">AVERAGE(D4:G4)</f>
        <v>63250</v>
      </c>
      <c r="J4" s="42">
        <f t="shared" ref="J4:J12" si="2">D4+E4+F4+G4</f>
        <v>253000</v>
      </c>
      <c r="K4" s="42">
        <f t="shared" ref="K4:K12" si="3">G4-D4</f>
        <v>182000</v>
      </c>
      <c r="L4" s="42">
        <f t="shared" ref="L4:L12" si="4">B4*C4</f>
        <v>72000</v>
      </c>
      <c r="M4" s="42">
        <f t="shared" ref="M4:M12" si="5">B4/C4</f>
        <v>4500</v>
      </c>
    </row>
    <row r="5" spans="1:13" ht="15.75">
      <c r="A5" s="51" t="s">
        <v>116</v>
      </c>
      <c r="B5" s="51">
        <v>20000</v>
      </c>
      <c r="C5" s="51">
        <v>4</v>
      </c>
      <c r="D5" s="51">
        <v>8000</v>
      </c>
      <c r="E5" s="51">
        <v>9000</v>
      </c>
      <c r="F5" s="51">
        <v>8500</v>
      </c>
      <c r="G5" s="51">
        <v>88000</v>
      </c>
      <c r="H5" s="51">
        <f t="shared" si="0"/>
        <v>113500</v>
      </c>
      <c r="I5" s="51">
        <f t="shared" si="1"/>
        <v>28375</v>
      </c>
      <c r="J5" s="42">
        <f t="shared" si="2"/>
        <v>113500</v>
      </c>
      <c r="K5" s="42">
        <f t="shared" si="3"/>
        <v>80000</v>
      </c>
      <c r="L5" s="42">
        <f t="shared" si="4"/>
        <v>80000</v>
      </c>
      <c r="M5" s="42">
        <f t="shared" si="5"/>
        <v>5000</v>
      </c>
    </row>
    <row r="6" spans="1:13" ht="15.75">
      <c r="A6" s="51" t="s">
        <v>117</v>
      </c>
      <c r="B6" s="51">
        <v>5000</v>
      </c>
      <c r="C6" s="51">
        <v>2</v>
      </c>
      <c r="D6" s="51">
        <v>15000</v>
      </c>
      <c r="E6" s="51">
        <v>14000</v>
      </c>
      <c r="F6" s="51">
        <v>0</v>
      </c>
      <c r="G6" s="51">
        <v>15500</v>
      </c>
      <c r="H6" s="51">
        <f t="shared" si="0"/>
        <v>44500</v>
      </c>
      <c r="I6" s="51">
        <f t="shared" si="1"/>
        <v>11125</v>
      </c>
      <c r="J6" s="42">
        <f t="shared" si="2"/>
        <v>44500</v>
      </c>
      <c r="K6" s="42">
        <f t="shared" si="3"/>
        <v>500</v>
      </c>
      <c r="L6" s="42">
        <f t="shared" si="4"/>
        <v>10000</v>
      </c>
      <c r="M6" s="42">
        <f t="shared" si="5"/>
        <v>2500</v>
      </c>
    </row>
    <row r="7" spans="1:13" ht="31.5">
      <c r="A7" s="51" t="s">
        <v>118</v>
      </c>
      <c r="B7" s="51">
        <v>1000</v>
      </c>
      <c r="C7" s="51">
        <v>6</v>
      </c>
      <c r="D7" s="51">
        <v>4000</v>
      </c>
      <c r="E7" s="51">
        <v>4500</v>
      </c>
      <c r="F7" s="51">
        <v>4200</v>
      </c>
      <c r="G7" s="51">
        <v>4800</v>
      </c>
      <c r="H7" s="51">
        <f t="shared" si="0"/>
        <v>17500</v>
      </c>
      <c r="I7" s="51">
        <f t="shared" si="1"/>
        <v>4375</v>
      </c>
      <c r="J7" s="42">
        <f t="shared" si="2"/>
        <v>17500</v>
      </c>
      <c r="K7" s="42">
        <f t="shared" si="3"/>
        <v>800</v>
      </c>
      <c r="L7" s="42">
        <f t="shared" si="4"/>
        <v>6000</v>
      </c>
      <c r="M7" s="42">
        <f t="shared" si="5"/>
        <v>166.66666666666666</v>
      </c>
    </row>
    <row r="8" spans="1:13" ht="31.5">
      <c r="A8" s="51" t="s">
        <v>119</v>
      </c>
      <c r="B8" s="51">
        <v>500</v>
      </c>
      <c r="C8" s="51">
        <v>4</v>
      </c>
      <c r="D8" s="51">
        <v>3000</v>
      </c>
      <c r="E8" s="51">
        <v>3200</v>
      </c>
      <c r="F8" s="51">
        <v>3100</v>
      </c>
      <c r="G8" s="51">
        <v>0</v>
      </c>
      <c r="H8" s="51">
        <f t="shared" si="0"/>
        <v>9300</v>
      </c>
      <c r="I8" s="51">
        <f t="shared" si="1"/>
        <v>2325</v>
      </c>
      <c r="J8" s="42">
        <f t="shared" si="2"/>
        <v>9300</v>
      </c>
      <c r="K8" s="42">
        <f t="shared" si="3"/>
        <v>-3000</v>
      </c>
      <c r="L8" s="42">
        <f t="shared" si="4"/>
        <v>2000</v>
      </c>
      <c r="M8" s="42">
        <f t="shared" si="5"/>
        <v>125</v>
      </c>
    </row>
    <row r="9" spans="1:13" ht="15.75">
      <c r="A9" s="51" t="s">
        <v>120</v>
      </c>
      <c r="B9" s="51">
        <v>400</v>
      </c>
      <c r="C9" s="51">
        <v>6</v>
      </c>
      <c r="D9" s="51">
        <v>0</v>
      </c>
      <c r="E9" s="51">
        <v>2700</v>
      </c>
      <c r="F9" s="51">
        <v>2600</v>
      </c>
      <c r="G9" s="51">
        <v>2800</v>
      </c>
      <c r="H9" s="51">
        <f t="shared" si="0"/>
        <v>8100</v>
      </c>
      <c r="I9" s="51">
        <f t="shared" si="1"/>
        <v>2025</v>
      </c>
      <c r="J9" s="42">
        <f t="shared" si="2"/>
        <v>8100</v>
      </c>
      <c r="K9" s="42">
        <f t="shared" si="3"/>
        <v>2800</v>
      </c>
      <c r="L9" s="42">
        <f t="shared" si="4"/>
        <v>2400</v>
      </c>
      <c r="M9" s="42">
        <f t="shared" si="5"/>
        <v>66.666666666666671</v>
      </c>
    </row>
    <row r="10" spans="1:13" ht="15.75">
      <c r="A10" s="51" t="s">
        <v>121</v>
      </c>
      <c r="B10" s="51">
        <v>2500</v>
      </c>
      <c r="C10" s="51">
        <v>5</v>
      </c>
      <c r="D10" s="51">
        <v>7000</v>
      </c>
      <c r="E10" s="51">
        <v>0</v>
      </c>
      <c r="F10" s="51">
        <v>7400</v>
      </c>
      <c r="G10" s="51">
        <v>7800</v>
      </c>
      <c r="H10" s="51">
        <f t="shared" si="0"/>
        <v>22200</v>
      </c>
      <c r="I10" s="51">
        <f t="shared" si="1"/>
        <v>5550</v>
      </c>
      <c r="J10" s="42">
        <f t="shared" si="2"/>
        <v>22200</v>
      </c>
      <c r="K10" s="42">
        <f t="shared" si="3"/>
        <v>800</v>
      </c>
      <c r="L10" s="42">
        <f t="shared" si="4"/>
        <v>12500</v>
      </c>
      <c r="M10" s="42">
        <f t="shared" si="5"/>
        <v>500</v>
      </c>
    </row>
    <row r="11" spans="1:13" ht="15.75">
      <c r="A11" s="51" t="s">
        <v>122</v>
      </c>
      <c r="B11" s="51">
        <v>12000</v>
      </c>
      <c r="C11" s="51">
        <v>2</v>
      </c>
      <c r="D11" s="51">
        <v>6000</v>
      </c>
      <c r="E11" s="51">
        <v>5800</v>
      </c>
      <c r="F11" s="51">
        <v>6200</v>
      </c>
      <c r="G11" s="51">
        <v>0</v>
      </c>
      <c r="H11" s="51">
        <f t="shared" si="0"/>
        <v>18000</v>
      </c>
      <c r="I11" s="51">
        <f t="shared" si="1"/>
        <v>4500</v>
      </c>
      <c r="J11" s="42">
        <f t="shared" si="2"/>
        <v>18000</v>
      </c>
      <c r="K11" s="42">
        <f t="shared" si="3"/>
        <v>-6000</v>
      </c>
      <c r="L11" s="42">
        <f t="shared" si="4"/>
        <v>24000</v>
      </c>
      <c r="M11" s="42">
        <f t="shared" si="5"/>
        <v>6000</v>
      </c>
    </row>
    <row r="12" spans="1:13" ht="15.75">
      <c r="A12" s="51" t="s">
        <v>123</v>
      </c>
      <c r="B12" s="51">
        <v>2000</v>
      </c>
      <c r="C12" s="51">
        <v>6</v>
      </c>
      <c r="D12" s="51">
        <v>0</v>
      </c>
      <c r="E12" s="51">
        <v>5200</v>
      </c>
      <c r="F12" s="51">
        <v>5100</v>
      </c>
      <c r="G12" s="51">
        <v>5300</v>
      </c>
      <c r="H12" s="51">
        <f t="shared" si="0"/>
        <v>15600</v>
      </c>
      <c r="I12" s="51">
        <f t="shared" si="1"/>
        <v>3900</v>
      </c>
      <c r="J12" s="42">
        <f t="shared" si="2"/>
        <v>15600</v>
      </c>
      <c r="K12" s="42">
        <f t="shared" si="3"/>
        <v>5300</v>
      </c>
      <c r="L12" s="42">
        <f t="shared" si="4"/>
        <v>12000</v>
      </c>
      <c r="M12" s="42">
        <f t="shared" si="5"/>
        <v>333.33333333333331</v>
      </c>
    </row>
  </sheetData>
  <mergeCells count="1">
    <mergeCell ref="A1:M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E21"/>
  <sheetViews>
    <sheetView workbookViewId="0">
      <selection sqref="A1:XFD1"/>
    </sheetView>
  </sheetViews>
  <sheetFormatPr defaultRowHeight="15"/>
  <cols>
    <col min="1" max="1" width="17" customWidth="1"/>
    <col min="2" max="2" width="16.140625" customWidth="1"/>
    <col min="3" max="3" width="16" customWidth="1"/>
    <col min="4" max="4" width="14.85546875" customWidth="1"/>
    <col min="5" max="5" width="15" customWidth="1"/>
  </cols>
  <sheetData>
    <row r="1" spans="1:5" ht="46.5" customHeight="1" thickBot="1">
      <c r="A1" s="139" t="s">
        <v>153</v>
      </c>
      <c r="B1" s="140"/>
      <c r="C1" s="140"/>
      <c r="D1" s="140"/>
      <c r="E1" s="141"/>
    </row>
    <row r="2" spans="1:5" ht="15.75">
      <c r="A2" s="52" t="s">
        <v>136</v>
      </c>
      <c r="B2" s="52" t="s">
        <v>110</v>
      </c>
      <c r="C2" s="52" t="s">
        <v>111</v>
      </c>
      <c r="D2" s="52" t="s">
        <v>112</v>
      </c>
      <c r="E2" s="52" t="s">
        <v>113</v>
      </c>
    </row>
    <row r="3" spans="1:5" ht="15.75">
      <c r="A3" s="51" t="s">
        <v>137</v>
      </c>
      <c r="B3" s="51">
        <v>12000</v>
      </c>
      <c r="C3" s="51">
        <v>15000</v>
      </c>
      <c r="D3" s="51">
        <v>13000</v>
      </c>
      <c r="E3" s="51">
        <v>14000</v>
      </c>
    </row>
    <row r="4" spans="1:5" ht="15.75">
      <c r="A4" s="51" t="s">
        <v>138</v>
      </c>
      <c r="B4" s="51">
        <v>15000</v>
      </c>
      <c r="C4" s="51">
        <v>17000</v>
      </c>
      <c r="D4" s="51">
        <v>16000</v>
      </c>
      <c r="E4" s="51">
        <v>18000</v>
      </c>
    </row>
    <row r="5" spans="1:5" ht="15.75">
      <c r="A5" s="51" t="s">
        <v>139</v>
      </c>
      <c r="B5" s="51">
        <v>8000</v>
      </c>
      <c r="C5" s="51">
        <v>9000</v>
      </c>
      <c r="D5" s="51">
        <v>8500</v>
      </c>
      <c r="E5" s="51">
        <v>8800</v>
      </c>
    </row>
    <row r="6" spans="1:5" ht="15.75">
      <c r="A6" s="51" t="s">
        <v>140</v>
      </c>
      <c r="B6" s="51">
        <v>13000</v>
      </c>
      <c r="C6" s="51">
        <v>12000</v>
      </c>
      <c r="D6" s="51">
        <v>13500</v>
      </c>
      <c r="E6" s="51">
        <v>14500</v>
      </c>
    </row>
    <row r="7" spans="1:5" ht="15.75">
      <c r="A7" s="51" t="s">
        <v>141</v>
      </c>
      <c r="B7" s="51">
        <v>11000</v>
      </c>
      <c r="C7" s="51">
        <v>10000</v>
      </c>
      <c r="D7" s="51">
        <v>11500</v>
      </c>
      <c r="E7" s="51">
        <v>12000</v>
      </c>
    </row>
    <row r="8" spans="1:5" ht="15.75">
      <c r="A8" s="51" t="s">
        <v>142</v>
      </c>
      <c r="B8" s="51">
        <v>18000</v>
      </c>
      <c r="C8" s="51">
        <v>16000</v>
      </c>
      <c r="D8" s="51">
        <v>17000</v>
      </c>
      <c r="E8" s="51">
        <v>20000</v>
      </c>
    </row>
    <row r="9" spans="1:5" ht="15.75">
      <c r="A9" s="51" t="s">
        <v>143</v>
      </c>
      <c r="B9" s="51">
        <v>14000</v>
      </c>
      <c r="C9" s="51">
        <v>14500</v>
      </c>
      <c r="D9" s="51">
        <v>15000</v>
      </c>
      <c r="E9" s="51">
        <v>16000</v>
      </c>
    </row>
    <row r="10" spans="1:5" ht="15.75">
      <c r="A10" s="51" t="s">
        <v>144</v>
      </c>
      <c r="B10" s="51">
        <v>9000</v>
      </c>
      <c r="C10" s="51">
        <v>9500</v>
      </c>
      <c r="D10" s="51">
        <v>9800</v>
      </c>
      <c r="E10" s="51">
        <v>10000</v>
      </c>
    </row>
    <row r="11" spans="1:5" ht="15.75">
      <c r="A11" s="51" t="s">
        <v>145</v>
      </c>
      <c r="B11" s="51">
        <v>5000</v>
      </c>
      <c r="C11" s="51">
        <v>7000</v>
      </c>
      <c r="D11" s="51">
        <v>6000</v>
      </c>
      <c r="E11" s="51">
        <v>7500</v>
      </c>
    </row>
    <row r="12" spans="1:5" ht="15.75">
      <c r="A12" s="51" t="s">
        <v>146</v>
      </c>
      <c r="B12" s="51">
        <v>16000</v>
      </c>
      <c r="C12" s="51">
        <v>15500</v>
      </c>
      <c r="D12" s="51">
        <v>17000</v>
      </c>
      <c r="E12" s="51">
        <v>18000</v>
      </c>
    </row>
    <row r="13" spans="1:5" ht="15.75">
      <c r="A13" s="30"/>
      <c r="B13" s="30"/>
      <c r="C13" s="30"/>
      <c r="D13" s="30"/>
      <c r="E13" s="30"/>
    </row>
    <row r="14" spans="1:5">
      <c r="A14" s="65" t="s">
        <v>147</v>
      </c>
      <c r="B14" s="66">
        <f>SUM(B3:B12)</f>
        <v>121000</v>
      </c>
      <c r="C14" s="66">
        <f>SUM(C3:C12)</f>
        <v>125500</v>
      </c>
      <c r="D14" s="66">
        <f>SUM(D3:D12)</f>
        <v>127300</v>
      </c>
      <c r="E14" s="66">
        <f>SUM(E3:E12)</f>
        <v>138800</v>
      </c>
    </row>
    <row r="15" spans="1:5">
      <c r="A15" s="65" t="s">
        <v>148</v>
      </c>
      <c r="B15" s="66">
        <f>AVERAGE(B3:B12)</f>
        <v>12100</v>
      </c>
      <c r="C15" s="66">
        <f>AVERAGE(C3:C12)</f>
        <v>12550</v>
      </c>
      <c r="D15" s="66">
        <f>AVERAGE(D3:D12)</f>
        <v>12730</v>
      </c>
      <c r="E15" s="66">
        <f>AVERAGE(E3:E12)</f>
        <v>13880</v>
      </c>
    </row>
    <row r="16" spans="1:5">
      <c r="A16" s="65" t="s">
        <v>149</v>
      </c>
      <c r="B16" s="66">
        <f>COUNT(B3:B12)</f>
        <v>10</v>
      </c>
      <c r="C16" s="66">
        <v>10</v>
      </c>
      <c r="D16" s="66">
        <v>10</v>
      </c>
      <c r="E16" s="66">
        <v>10</v>
      </c>
    </row>
    <row r="17" spans="1:5">
      <c r="A17" s="65" t="s">
        <v>150</v>
      </c>
      <c r="B17" s="66">
        <f>MAX(B3:B12)</f>
        <v>18000</v>
      </c>
      <c r="C17" s="66">
        <f>MAX(C3:C12)</f>
        <v>17000</v>
      </c>
      <c r="D17" s="66">
        <f>MAX(D3:D12)</f>
        <v>17000</v>
      </c>
      <c r="E17" s="66">
        <f>MAX(E3:E12)</f>
        <v>20000</v>
      </c>
    </row>
    <row r="18" spans="1:5">
      <c r="A18" s="65" t="s">
        <v>151</v>
      </c>
      <c r="B18" s="66">
        <f>MIN(B3:B12)</f>
        <v>5000</v>
      </c>
      <c r="C18" s="66">
        <f>MIN(C3:C12)</f>
        <v>7000</v>
      </c>
      <c r="D18" s="66">
        <f>MIN(D3:D12)</f>
        <v>6000</v>
      </c>
      <c r="E18" s="66">
        <f>MIN(E3:E12)</f>
        <v>7500</v>
      </c>
    </row>
    <row r="19" spans="1:5" ht="15.75">
      <c r="A19" s="29"/>
      <c r="B19" s="30"/>
      <c r="C19" s="30"/>
      <c r="D19" s="30"/>
      <c r="E19" s="30"/>
    </row>
    <row r="20" spans="1:5">
      <c r="A20" s="63" t="s">
        <v>152</v>
      </c>
      <c r="B20" s="64">
        <f>MAX(B3:B12)/AVERAGE(B3:B12)</f>
        <v>1.4876033057851239</v>
      </c>
      <c r="C20" s="64">
        <f>MAX(C3:C12)/AVERAGE(C3:C12)</f>
        <v>1.3545816733067728</v>
      </c>
      <c r="D20" s="64">
        <f>MAX(D3:D12)/AVERAGE(D3:D12)</f>
        <v>1.335428122545169</v>
      </c>
      <c r="E20" s="64">
        <f>MAX(E3:E12)/AVERAGE(E3:E12)</f>
        <v>1.4409221902017291</v>
      </c>
    </row>
    <row r="21" spans="1:5">
      <c r="A21" s="63" t="s">
        <v>149</v>
      </c>
      <c r="B21" s="64">
        <f>COUNTIF(B3:B12, "&gt;10000")</f>
        <v>7</v>
      </c>
      <c r="C21" s="64">
        <f>COUNTIF(C3:C12, "&gt;10000")</f>
        <v>6</v>
      </c>
      <c r="D21" s="64">
        <f>COUNTIF(D3:D12, "&gt;10000")</f>
        <v>7</v>
      </c>
      <c r="E21" s="64">
        <f>COUNTIF(E3:E12, "&gt;10000")</f>
        <v>7</v>
      </c>
    </row>
  </sheetData>
  <mergeCells count="1">
    <mergeCell ref="A1: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E19"/>
  <sheetViews>
    <sheetView workbookViewId="0">
      <selection sqref="A1:XFD1"/>
    </sheetView>
  </sheetViews>
  <sheetFormatPr defaultRowHeight="15"/>
  <cols>
    <col min="1" max="1" width="14.85546875" customWidth="1"/>
    <col min="2" max="2" width="14" customWidth="1"/>
    <col min="3" max="3" width="16.5703125" customWidth="1"/>
    <col min="4" max="4" width="16" customWidth="1"/>
    <col min="5" max="5" width="15" customWidth="1"/>
  </cols>
  <sheetData>
    <row r="1" spans="1:5" ht="54" customHeight="1" thickBot="1">
      <c r="A1" s="142" t="s">
        <v>154</v>
      </c>
      <c r="B1" s="143"/>
      <c r="C1" s="143"/>
      <c r="D1" s="143"/>
      <c r="E1" s="144"/>
    </row>
    <row r="2" spans="1:5" ht="15.75">
      <c r="A2" s="54" t="s">
        <v>155</v>
      </c>
      <c r="B2" s="56" t="s">
        <v>156</v>
      </c>
      <c r="C2" s="56" t="s">
        <v>126</v>
      </c>
      <c r="D2" s="56" t="s">
        <v>158</v>
      </c>
      <c r="E2" s="56" t="s">
        <v>157</v>
      </c>
    </row>
    <row r="3" spans="1:5" ht="15.75">
      <c r="A3" s="54" t="s">
        <v>137</v>
      </c>
      <c r="B3" s="9">
        <v>4400</v>
      </c>
      <c r="C3" s="9">
        <v>22900</v>
      </c>
      <c r="D3" s="9">
        <v>65000</v>
      </c>
      <c r="E3" s="9">
        <v>88000</v>
      </c>
    </row>
    <row r="4" spans="1:5" ht="15.75">
      <c r="A4" s="54" t="s">
        <v>138</v>
      </c>
      <c r="B4" s="9">
        <v>33000</v>
      </c>
      <c r="C4" s="9">
        <v>34000</v>
      </c>
      <c r="D4" s="9">
        <v>34000</v>
      </c>
      <c r="E4" s="9">
        <v>99000</v>
      </c>
    </row>
    <row r="5" spans="1:5" ht="15.75">
      <c r="A5" s="54" t="s">
        <v>140</v>
      </c>
      <c r="B5" s="9">
        <v>13230</v>
      </c>
      <c r="C5" s="9">
        <v>5560</v>
      </c>
      <c r="D5" s="9">
        <v>44000</v>
      </c>
      <c r="E5" s="9">
        <v>22000</v>
      </c>
    </row>
    <row r="6" spans="1:5" ht="15.75">
      <c r="A6" s="54" t="s">
        <v>159</v>
      </c>
      <c r="B6" s="9">
        <v>3300</v>
      </c>
      <c r="C6" s="9">
        <v>80000</v>
      </c>
      <c r="D6" s="9">
        <v>55884</v>
      </c>
      <c r="E6" s="9">
        <v>44000</v>
      </c>
    </row>
    <row r="7" spans="1:5" ht="15.75">
      <c r="A7" s="54" t="s">
        <v>146</v>
      </c>
      <c r="B7" s="9">
        <v>5500</v>
      </c>
      <c r="C7" s="9">
        <v>7500</v>
      </c>
      <c r="D7" s="9">
        <v>99000</v>
      </c>
      <c r="E7" s="9">
        <v>66000</v>
      </c>
    </row>
    <row r="8" spans="1:5" ht="15.75">
      <c r="A8" s="54" t="s">
        <v>147</v>
      </c>
      <c r="B8" s="57">
        <f>SUM(B3:B7)</f>
        <v>59430</v>
      </c>
      <c r="C8" s="57">
        <f>SUM(C3:C7)</f>
        <v>149960</v>
      </c>
      <c r="D8" s="57">
        <f>SUM(D3:D7)</f>
        <v>297884</v>
      </c>
      <c r="E8" s="57">
        <f>SUM(E3:E7)</f>
        <v>319000</v>
      </c>
    </row>
    <row r="11" spans="1:5" ht="15.75">
      <c r="B11" s="58" t="s">
        <v>164</v>
      </c>
      <c r="C11" s="58" t="s">
        <v>160</v>
      </c>
    </row>
    <row r="13" spans="1:5" ht="15.75">
      <c r="A13" s="42" t="s">
        <v>155</v>
      </c>
      <c r="B13" s="56" t="s">
        <v>156</v>
      </c>
      <c r="C13" s="56" t="s">
        <v>126</v>
      </c>
      <c r="D13" s="56" t="s">
        <v>158</v>
      </c>
      <c r="E13" s="56" t="s">
        <v>157</v>
      </c>
    </row>
    <row r="14" spans="1:5" ht="15.75">
      <c r="A14" s="54" t="s">
        <v>137</v>
      </c>
      <c r="B14" s="9">
        <v>4400</v>
      </c>
      <c r="C14" s="9">
        <v>22900</v>
      </c>
      <c r="D14" s="9">
        <v>65000</v>
      </c>
      <c r="E14" s="9">
        <v>88000</v>
      </c>
    </row>
    <row r="15" spans="1:5" ht="15.75">
      <c r="A15" s="54" t="s">
        <v>138</v>
      </c>
      <c r="B15" s="9">
        <v>33000</v>
      </c>
      <c r="C15" s="9">
        <v>34000</v>
      </c>
      <c r="D15" s="9">
        <v>34000</v>
      </c>
      <c r="E15" s="9">
        <v>99000</v>
      </c>
    </row>
    <row r="16" spans="1:5" ht="15.75">
      <c r="A16" s="54" t="s">
        <v>140</v>
      </c>
      <c r="B16" s="9">
        <v>13230</v>
      </c>
      <c r="C16" s="9">
        <v>5560</v>
      </c>
      <c r="D16" s="9">
        <v>44000</v>
      </c>
      <c r="E16" s="9">
        <v>22000</v>
      </c>
    </row>
    <row r="17" spans="1:5" ht="15.75">
      <c r="A17" s="54" t="s">
        <v>159</v>
      </c>
      <c r="B17" s="9">
        <v>3300</v>
      </c>
      <c r="C17" s="9">
        <v>80000</v>
      </c>
      <c r="D17" s="9">
        <v>55884</v>
      </c>
      <c r="E17" s="9">
        <v>44000</v>
      </c>
    </row>
    <row r="18" spans="1:5" ht="15.75">
      <c r="A18" s="54" t="s">
        <v>146</v>
      </c>
      <c r="B18" s="9">
        <v>5500</v>
      </c>
      <c r="C18" s="9">
        <v>7500</v>
      </c>
      <c r="D18" s="9">
        <v>99000</v>
      </c>
      <c r="E18" s="9">
        <v>66000</v>
      </c>
    </row>
    <row r="19" spans="1:5" ht="15.75">
      <c r="A19" s="54" t="s">
        <v>147</v>
      </c>
      <c r="B19" s="57">
        <f>SUM(B14:B18)</f>
        <v>59430</v>
      </c>
      <c r="C19" s="57">
        <f>SUM(C14:C18)</f>
        <v>149960</v>
      </c>
      <c r="D19" s="57">
        <f>SUM(D14:D18)</f>
        <v>297884</v>
      </c>
      <c r="E19" s="57">
        <f>SUM(E14:E18)</f>
        <v>319000</v>
      </c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E11"/>
  <sheetViews>
    <sheetView workbookViewId="0">
      <selection sqref="A1:XFD1"/>
    </sheetView>
  </sheetViews>
  <sheetFormatPr defaultRowHeight="15"/>
  <cols>
    <col min="1" max="1" width="16.140625" customWidth="1"/>
    <col min="2" max="2" width="15" customWidth="1"/>
    <col min="3" max="3" width="12.7109375" customWidth="1"/>
    <col min="4" max="4" width="13.140625" customWidth="1"/>
    <col min="5" max="5" width="11.140625" customWidth="1"/>
  </cols>
  <sheetData>
    <row r="1" spans="1:5" ht="55.5" customHeight="1">
      <c r="A1" s="145" t="s">
        <v>163</v>
      </c>
      <c r="B1" s="146"/>
      <c r="C1" s="146"/>
      <c r="D1" s="146"/>
      <c r="E1" s="147"/>
    </row>
    <row r="2" spans="1:5" ht="15.75">
      <c r="A2" s="59" t="s">
        <v>109</v>
      </c>
      <c r="B2" s="60" t="s">
        <v>156</v>
      </c>
      <c r="C2" s="60" t="s">
        <v>126</v>
      </c>
      <c r="D2" s="60" t="s">
        <v>158</v>
      </c>
      <c r="E2" s="60" t="s">
        <v>157</v>
      </c>
    </row>
    <row r="3" spans="1:5" ht="15.75">
      <c r="A3" s="61" t="s">
        <v>114</v>
      </c>
      <c r="B3" s="62">
        <v>4400</v>
      </c>
      <c r="C3" s="62">
        <v>22900</v>
      </c>
      <c r="D3" s="62">
        <v>65000</v>
      </c>
      <c r="E3" s="62">
        <v>88000</v>
      </c>
    </row>
    <row r="4" spans="1:5" ht="15.75">
      <c r="A4" s="61" t="s">
        <v>161</v>
      </c>
      <c r="B4" s="62">
        <v>33000</v>
      </c>
      <c r="C4" s="62">
        <v>34000</v>
      </c>
      <c r="D4" s="62">
        <v>34000</v>
      </c>
      <c r="E4" s="62">
        <v>99000</v>
      </c>
    </row>
    <row r="5" spans="1:5" ht="15.75">
      <c r="A5" s="61" t="s">
        <v>116</v>
      </c>
      <c r="B5" s="62">
        <v>13230</v>
      </c>
      <c r="C5" s="62">
        <v>5560</v>
      </c>
      <c r="D5" s="62">
        <v>44000</v>
      </c>
      <c r="E5" s="62">
        <v>22000</v>
      </c>
    </row>
    <row r="6" spans="1:5" ht="15.75">
      <c r="A6" s="61" t="s">
        <v>117</v>
      </c>
      <c r="B6" s="62">
        <v>3300</v>
      </c>
      <c r="C6" s="62">
        <v>80000</v>
      </c>
      <c r="D6" s="62">
        <v>55884</v>
      </c>
      <c r="E6" s="62">
        <v>44000</v>
      </c>
    </row>
    <row r="7" spans="1:5" ht="15.75">
      <c r="A7" s="61" t="s">
        <v>162</v>
      </c>
      <c r="B7" s="62">
        <v>5500</v>
      </c>
      <c r="C7" s="62">
        <v>7500</v>
      </c>
      <c r="D7" s="62">
        <v>99000</v>
      </c>
      <c r="E7" s="62">
        <v>66000</v>
      </c>
    </row>
    <row r="8" spans="1:5">
      <c r="A8" s="49"/>
    </row>
    <row r="9" spans="1:5">
      <c r="A9" s="49"/>
    </row>
    <row r="10" spans="1:5">
      <c r="A10" s="49"/>
    </row>
    <row r="11" spans="1:5">
      <c r="A11" s="49"/>
    </row>
  </sheetData>
  <mergeCells count="1">
    <mergeCell ref="A1:E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E11"/>
  <sheetViews>
    <sheetView workbookViewId="0">
      <selection sqref="A1:XFD1"/>
    </sheetView>
  </sheetViews>
  <sheetFormatPr defaultRowHeight="15"/>
  <cols>
    <col min="1" max="1" width="16.140625" style="53" customWidth="1"/>
    <col min="2" max="2" width="15" style="53" customWidth="1"/>
    <col min="3" max="3" width="12.7109375" style="53" customWidth="1"/>
    <col min="4" max="4" width="13.140625" style="53" customWidth="1"/>
    <col min="5" max="5" width="11.140625" style="53" customWidth="1"/>
    <col min="6" max="16384" width="9.140625" style="53"/>
  </cols>
  <sheetData>
    <row r="1" spans="1:5" ht="55.5" customHeight="1">
      <c r="A1" s="145" t="s">
        <v>165</v>
      </c>
      <c r="B1" s="146"/>
      <c r="C1" s="146"/>
      <c r="D1" s="146"/>
      <c r="E1" s="147"/>
    </row>
    <row r="2" spans="1:5" ht="15.75">
      <c r="A2" s="59" t="s">
        <v>109</v>
      </c>
      <c r="B2" s="60" t="s">
        <v>156</v>
      </c>
      <c r="C2" s="60" t="s">
        <v>126</v>
      </c>
      <c r="D2" s="60" t="s">
        <v>158</v>
      </c>
      <c r="E2" s="60" t="s">
        <v>157</v>
      </c>
    </row>
    <row r="3" spans="1:5" ht="15.75">
      <c r="A3" s="61" t="s">
        <v>114</v>
      </c>
      <c r="B3" s="62">
        <v>4400</v>
      </c>
      <c r="C3" s="62">
        <v>22900</v>
      </c>
      <c r="D3" s="62">
        <v>65000</v>
      </c>
      <c r="E3" s="62">
        <v>88000</v>
      </c>
    </row>
    <row r="4" spans="1:5" ht="15.75">
      <c r="A4" s="61" t="s">
        <v>161</v>
      </c>
      <c r="B4" s="62">
        <v>33000</v>
      </c>
      <c r="C4" s="62">
        <v>34000</v>
      </c>
      <c r="D4" s="62">
        <v>34000</v>
      </c>
      <c r="E4" s="62">
        <v>99000</v>
      </c>
    </row>
    <row r="5" spans="1:5" ht="15.75">
      <c r="A5" s="61" t="s">
        <v>116</v>
      </c>
      <c r="B5" s="62">
        <v>13230</v>
      </c>
      <c r="C5" s="62">
        <v>5600</v>
      </c>
      <c r="D5" s="62">
        <v>45000</v>
      </c>
      <c r="E5" s="62">
        <v>22000</v>
      </c>
    </row>
    <row r="6" spans="1:5" ht="15.75">
      <c r="A6" s="61" t="s">
        <v>117</v>
      </c>
      <c r="B6" s="62">
        <v>3300</v>
      </c>
      <c r="C6" s="62">
        <v>80000</v>
      </c>
      <c r="D6" s="62">
        <v>55884</v>
      </c>
      <c r="E6" s="62">
        <v>44000</v>
      </c>
    </row>
    <row r="7" spans="1:5" ht="15.75">
      <c r="A7" s="61" t="s">
        <v>162</v>
      </c>
      <c r="B7" s="62">
        <v>5500</v>
      </c>
      <c r="C7" s="62">
        <v>7500</v>
      </c>
      <c r="D7" s="62">
        <v>99000</v>
      </c>
      <c r="E7" s="62">
        <v>66000</v>
      </c>
    </row>
    <row r="8" spans="1:5">
      <c r="A8" s="49"/>
    </row>
    <row r="9" spans="1:5">
      <c r="A9" s="49"/>
    </row>
    <row r="10" spans="1:5">
      <c r="A10" s="49"/>
    </row>
    <row r="11" spans="1:5">
      <c r="A11" s="49"/>
    </row>
  </sheetData>
  <mergeCells count="1">
    <mergeCell ref="A1:E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I7"/>
  <sheetViews>
    <sheetView workbookViewId="0">
      <selection sqref="A1:XFD1"/>
    </sheetView>
  </sheetViews>
  <sheetFormatPr defaultRowHeight="15"/>
  <cols>
    <col min="1" max="9" width="17.7109375" style="53" customWidth="1"/>
    <col min="10" max="16384" width="9.140625" style="53"/>
  </cols>
  <sheetData>
    <row r="1" spans="1:9" ht="15.75" customHeight="1" thickBot="1">
      <c r="A1" s="148" t="s">
        <v>166</v>
      </c>
      <c r="B1" s="149"/>
      <c r="C1" s="149"/>
      <c r="D1" s="149"/>
      <c r="E1" s="149"/>
      <c r="F1" s="149"/>
      <c r="G1" s="149"/>
      <c r="H1" s="149"/>
      <c r="I1" s="150"/>
    </row>
    <row r="2" spans="1:9" ht="19.899999999999999" customHeight="1">
      <c r="A2" s="114" t="s">
        <v>109</v>
      </c>
      <c r="B2" s="114" t="s">
        <v>536</v>
      </c>
      <c r="C2" s="114" t="s">
        <v>537</v>
      </c>
      <c r="D2" s="114" t="s">
        <v>538</v>
      </c>
      <c r="E2" s="114" t="s">
        <v>539</v>
      </c>
      <c r="F2" s="114" t="s">
        <v>167</v>
      </c>
      <c r="G2" s="114" t="s">
        <v>168</v>
      </c>
      <c r="H2" s="114" t="s">
        <v>169</v>
      </c>
      <c r="I2" s="114" t="s">
        <v>170</v>
      </c>
    </row>
    <row r="3" spans="1:9" ht="19.899999999999999" customHeight="1">
      <c r="A3" s="100" t="s">
        <v>114</v>
      </c>
      <c r="B3" s="101">
        <v>12000</v>
      </c>
      <c r="C3" s="101">
        <v>15000</v>
      </c>
      <c r="D3" s="101">
        <v>13000</v>
      </c>
      <c r="E3" s="101">
        <v>14000</v>
      </c>
      <c r="F3" s="101">
        <v>3000</v>
      </c>
      <c r="G3" s="101">
        <v>4000</v>
      </c>
      <c r="H3" s="101">
        <v>3500</v>
      </c>
      <c r="I3" s="101">
        <v>3800</v>
      </c>
    </row>
    <row r="4" spans="1:9" ht="19.899999999999999" customHeight="1">
      <c r="A4" s="100" t="s">
        <v>117</v>
      </c>
      <c r="B4" s="101">
        <v>15000</v>
      </c>
      <c r="C4" s="101">
        <v>17000</v>
      </c>
      <c r="D4" s="101">
        <v>16000</v>
      </c>
      <c r="E4" s="101">
        <v>18000</v>
      </c>
      <c r="F4" s="101">
        <v>5000</v>
      </c>
      <c r="G4" s="101">
        <v>6000</v>
      </c>
      <c r="H4" s="101">
        <v>5500</v>
      </c>
      <c r="I4" s="101">
        <v>5800</v>
      </c>
    </row>
    <row r="5" spans="1:9" ht="19.899999999999999" customHeight="1">
      <c r="A5" s="100" t="s">
        <v>161</v>
      </c>
      <c r="B5" s="101">
        <v>8000</v>
      </c>
      <c r="C5" s="101">
        <v>9000</v>
      </c>
      <c r="D5" s="101">
        <v>8500</v>
      </c>
      <c r="E5" s="101">
        <v>8800</v>
      </c>
      <c r="F5" s="101">
        <v>2000</v>
      </c>
      <c r="G5" s="101">
        <v>2200</v>
      </c>
      <c r="H5" s="101">
        <v>2100</v>
      </c>
      <c r="I5" s="101">
        <v>2300</v>
      </c>
    </row>
    <row r="6" spans="1:9" ht="19.899999999999999" customHeight="1">
      <c r="A6" s="100" t="s">
        <v>116</v>
      </c>
      <c r="B6" s="101">
        <v>13000</v>
      </c>
      <c r="C6" s="101">
        <v>12000</v>
      </c>
      <c r="D6" s="101">
        <v>13500</v>
      </c>
      <c r="E6" s="101">
        <v>14500</v>
      </c>
      <c r="F6" s="101">
        <v>4000</v>
      </c>
      <c r="G6" s="101">
        <v>3500</v>
      </c>
      <c r="H6" s="101">
        <v>4200</v>
      </c>
      <c r="I6" s="101">
        <v>4500</v>
      </c>
    </row>
    <row r="7" spans="1:9" ht="19.899999999999999" customHeight="1">
      <c r="A7" s="100" t="s">
        <v>118</v>
      </c>
      <c r="B7" s="101">
        <v>11000</v>
      </c>
      <c r="C7" s="101">
        <v>10000</v>
      </c>
      <c r="D7" s="101">
        <v>11500</v>
      </c>
      <c r="E7" s="101">
        <v>12000</v>
      </c>
      <c r="F7" s="101">
        <v>2800</v>
      </c>
      <c r="G7" s="101">
        <v>2500</v>
      </c>
      <c r="H7" s="101">
        <v>3000</v>
      </c>
      <c r="I7" s="101">
        <v>3200</v>
      </c>
    </row>
  </sheetData>
  <mergeCells count="1">
    <mergeCell ref="A1:I1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 filterMode="1"/>
  <dimension ref="A1:F136"/>
  <sheetViews>
    <sheetView workbookViewId="0">
      <selection sqref="A1:XFD1"/>
    </sheetView>
  </sheetViews>
  <sheetFormatPr defaultRowHeight="15"/>
  <cols>
    <col min="1" max="1" width="9.140625" style="53"/>
    <col min="2" max="2" width="32.7109375" customWidth="1"/>
    <col min="3" max="3" width="14" customWidth="1"/>
    <col min="4" max="4" width="11.140625" customWidth="1"/>
    <col min="5" max="5" width="17" customWidth="1"/>
    <col min="6" max="6" width="17.42578125" customWidth="1"/>
  </cols>
  <sheetData>
    <row r="1" spans="1:6" ht="31.5" customHeight="1" thickBot="1">
      <c r="A1" s="142" t="s">
        <v>368</v>
      </c>
      <c r="B1" s="143"/>
      <c r="C1" s="143"/>
      <c r="D1" s="143"/>
      <c r="E1" s="143"/>
      <c r="F1" s="144"/>
    </row>
    <row r="2" spans="1:6" ht="36">
      <c r="A2" s="36" t="s">
        <v>362</v>
      </c>
      <c r="B2" s="36" t="s">
        <v>363</v>
      </c>
      <c r="C2" s="36" t="s">
        <v>364</v>
      </c>
      <c r="D2" s="75" t="s">
        <v>365</v>
      </c>
      <c r="E2" s="36" t="s">
        <v>366</v>
      </c>
      <c r="F2" s="36" t="s">
        <v>367</v>
      </c>
    </row>
    <row r="3" spans="1:6" ht="31.5" hidden="1">
      <c r="A3" s="69">
        <v>1</v>
      </c>
      <c r="B3" s="68" t="s">
        <v>3</v>
      </c>
      <c r="C3" s="68" t="s">
        <v>171</v>
      </c>
      <c r="D3" s="67">
        <v>2022</v>
      </c>
      <c r="E3" s="68" t="s">
        <v>172</v>
      </c>
      <c r="F3" s="67" t="s">
        <v>173</v>
      </c>
    </row>
    <row r="4" spans="1:6" ht="31.5">
      <c r="A4" s="69">
        <v>2</v>
      </c>
      <c r="B4" s="68" t="s">
        <v>4</v>
      </c>
      <c r="C4" s="68" t="s">
        <v>174</v>
      </c>
      <c r="D4" s="68">
        <v>2021</v>
      </c>
      <c r="E4" s="68" t="s">
        <v>172</v>
      </c>
      <c r="F4" s="67" t="s">
        <v>173</v>
      </c>
    </row>
    <row r="5" spans="1:6" ht="31.5">
      <c r="A5" s="69">
        <v>3</v>
      </c>
      <c r="B5" s="68" t="s">
        <v>4</v>
      </c>
      <c r="C5" s="68" t="s">
        <v>175</v>
      </c>
      <c r="D5" s="68">
        <v>2021</v>
      </c>
      <c r="E5" s="68" t="s">
        <v>172</v>
      </c>
      <c r="F5" s="67" t="s">
        <v>173</v>
      </c>
    </row>
    <row r="6" spans="1:6" ht="31.5" hidden="1">
      <c r="A6" s="69">
        <v>4</v>
      </c>
      <c r="B6" s="68" t="s">
        <v>6</v>
      </c>
      <c r="C6" s="68" t="s">
        <v>176</v>
      </c>
      <c r="D6" s="68">
        <v>2022</v>
      </c>
      <c r="E6" s="68" t="s">
        <v>172</v>
      </c>
      <c r="F6" s="67" t="s">
        <v>173</v>
      </c>
    </row>
    <row r="7" spans="1:6" ht="31.5">
      <c r="A7" s="69">
        <v>5</v>
      </c>
      <c r="B7" s="68" t="s">
        <v>4</v>
      </c>
      <c r="C7" s="68" t="s">
        <v>176</v>
      </c>
      <c r="D7" s="68">
        <v>2021</v>
      </c>
      <c r="E7" s="68" t="s">
        <v>172</v>
      </c>
      <c r="F7" s="67" t="s">
        <v>173</v>
      </c>
    </row>
    <row r="8" spans="1:6" ht="31.5">
      <c r="A8" s="69">
        <v>6</v>
      </c>
      <c r="B8" s="68" t="s">
        <v>7</v>
      </c>
      <c r="C8" s="68" t="s">
        <v>177</v>
      </c>
      <c r="D8" s="68">
        <v>2021</v>
      </c>
      <c r="E8" s="68" t="s">
        <v>172</v>
      </c>
      <c r="F8" s="67" t="s">
        <v>173</v>
      </c>
    </row>
    <row r="9" spans="1:6" ht="31.5">
      <c r="A9" s="69">
        <v>7</v>
      </c>
      <c r="B9" s="68" t="s">
        <v>7</v>
      </c>
      <c r="C9" s="68" t="s">
        <v>178</v>
      </c>
      <c r="D9" s="68">
        <v>2021</v>
      </c>
      <c r="E9" s="68" t="s">
        <v>172</v>
      </c>
      <c r="F9" s="67" t="s">
        <v>173</v>
      </c>
    </row>
    <row r="10" spans="1:6" ht="31.5">
      <c r="A10" s="69">
        <v>8</v>
      </c>
      <c r="B10" s="68" t="s">
        <v>7</v>
      </c>
      <c r="C10" s="68" t="s">
        <v>179</v>
      </c>
      <c r="D10" s="68">
        <v>2021</v>
      </c>
      <c r="E10" s="68" t="s">
        <v>172</v>
      </c>
      <c r="F10" s="67" t="s">
        <v>173</v>
      </c>
    </row>
    <row r="11" spans="1:6" ht="31.5" hidden="1">
      <c r="A11" s="69">
        <v>9</v>
      </c>
      <c r="B11" s="68" t="s">
        <v>180</v>
      </c>
      <c r="C11" s="68" t="s">
        <v>171</v>
      </c>
      <c r="D11" s="68">
        <v>2022</v>
      </c>
      <c r="E11" s="68" t="s">
        <v>172</v>
      </c>
      <c r="F11" s="67" t="s">
        <v>173</v>
      </c>
    </row>
    <row r="12" spans="1:6" ht="31.5" hidden="1">
      <c r="A12" s="69">
        <v>10</v>
      </c>
      <c r="B12" s="68" t="s">
        <v>9</v>
      </c>
      <c r="C12" s="68" t="s">
        <v>181</v>
      </c>
      <c r="D12" s="68">
        <v>2022</v>
      </c>
      <c r="E12" s="68" t="s">
        <v>172</v>
      </c>
      <c r="F12" s="67" t="s">
        <v>173</v>
      </c>
    </row>
    <row r="13" spans="1:6" ht="31.5" hidden="1">
      <c r="A13" s="69">
        <v>11</v>
      </c>
      <c r="B13" s="68" t="s">
        <v>10</v>
      </c>
      <c r="C13" s="68" t="s">
        <v>182</v>
      </c>
      <c r="D13" s="68">
        <v>2022</v>
      </c>
      <c r="E13" s="68" t="s">
        <v>172</v>
      </c>
      <c r="F13" s="67" t="s">
        <v>173</v>
      </c>
    </row>
    <row r="14" spans="1:6" ht="31.5" hidden="1">
      <c r="A14" s="69">
        <v>12</v>
      </c>
      <c r="B14" s="68" t="s">
        <v>10</v>
      </c>
      <c r="C14" s="68" t="s">
        <v>183</v>
      </c>
      <c r="D14" s="68">
        <v>2022</v>
      </c>
      <c r="E14" s="68" t="s">
        <v>172</v>
      </c>
      <c r="F14" s="67" t="s">
        <v>173</v>
      </c>
    </row>
    <row r="15" spans="1:6" ht="47.25" hidden="1">
      <c r="A15" s="69">
        <v>13</v>
      </c>
      <c r="B15" s="68" t="s">
        <v>10</v>
      </c>
      <c r="C15" s="68" t="s">
        <v>184</v>
      </c>
      <c r="D15" s="68">
        <v>2022</v>
      </c>
      <c r="E15" s="68" t="s">
        <v>172</v>
      </c>
      <c r="F15" s="67" t="s">
        <v>173</v>
      </c>
    </row>
    <row r="16" spans="1:6" ht="47.25" hidden="1">
      <c r="A16" s="69">
        <v>14</v>
      </c>
      <c r="B16" s="68" t="s">
        <v>12</v>
      </c>
      <c r="C16" s="68" t="s">
        <v>185</v>
      </c>
      <c r="D16" s="68">
        <v>2022</v>
      </c>
      <c r="E16" s="68" t="s">
        <v>172</v>
      </c>
      <c r="F16" s="67" t="s">
        <v>173</v>
      </c>
    </row>
    <row r="17" spans="1:6" ht="31.5" hidden="1">
      <c r="A17" s="69">
        <v>15</v>
      </c>
      <c r="B17" s="68" t="s">
        <v>13</v>
      </c>
      <c r="C17" s="68" t="s">
        <v>186</v>
      </c>
      <c r="D17" s="68">
        <v>2022</v>
      </c>
      <c r="E17" s="68" t="s">
        <v>172</v>
      </c>
      <c r="F17" s="67" t="s">
        <v>173</v>
      </c>
    </row>
    <row r="18" spans="1:6" ht="47.25" hidden="1">
      <c r="A18" s="69">
        <v>16</v>
      </c>
      <c r="B18" s="68" t="s">
        <v>14</v>
      </c>
      <c r="C18" s="68" t="s">
        <v>187</v>
      </c>
      <c r="D18" s="68">
        <v>2022</v>
      </c>
      <c r="E18" s="68" t="s">
        <v>172</v>
      </c>
      <c r="F18" s="67" t="s">
        <v>173</v>
      </c>
    </row>
    <row r="19" spans="1:6" ht="47.25" hidden="1">
      <c r="A19" s="69">
        <v>17</v>
      </c>
      <c r="B19" s="68" t="s">
        <v>188</v>
      </c>
      <c r="C19" s="68" t="s">
        <v>189</v>
      </c>
      <c r="D19" s="68">
        <v>2022</v>
      </c>
      <c r="E19" s="68" t="s">
        <v>172</v>
      </c>
      <c r="F19" s="67" t="s">
        <v>173</v>
      </c>
    </row>
    <row r="20" spans="1:6" ht="47.25" hidden="1">
      <c r="A20" s="69">
        <v>18</v>
      </c>
      <c r="B20" s="68" t="s">
        <v>14</v>
      </c>
      <c r="C20" s="68" t="s">
        <v>190</v>
      </c>
      <c r="D20" s="68">
        <v>2022</v>
      </c>
      <c r="E20" s="68" t="s">
        <v>172</v>
      </c>
      <c r="F20" s="67" t="s">
        <v>173</v>
      </c>
    </row>
    <row r="21" spans="1:6" ht="47.25" hidden="1">
      <c r="A21" s="69">
        <v>19</v>
      </c>
      <c r="B21" s="68" t="s">
        <v>15</v>
      </c>
      <c r="C21" s="68" t="s">
        <v>191</v>
      </c>
      <c r="D21" s="68">
        <v>2022</v>
      </c>
      <c r="E21" s="68" t="s">
        <v>172</v>
      </c>
      <c r="F21" s="67" t="s">
        <v>173</v>
      </c>
    </row>
    <row r="22" spans="1:6" ht="31.5" hidden="1">
      <c r="A22" s="69">
        <v>20</v>
      </c>
      <c r="B22" s="68" t="s">
        <v>16</v>
      </c>
      <c r="C22" s="68" t="s">
        <v>192</v>
      </c>
      <c r="D22" s="68">
        <v>2022</v>
      </c>
      <c r="E22" s="68" t="s">
        <v>172</v>
      </c>
      <c r="F22" s="67" t="s">
        <v>173</v>
      </c>
    </row>
    <row r="23" spans="1:6" ht="47.25" hidden="1">
      <c r="A23" s="69">
        <v>21</v>
      </c>
      <c r="B23" s="68" t="s">
        <v>16</v>
      </c>
      <c r="C23" s="68" t="s">
        <v>193</v>
      </c>
      <c r="D23" s="68">
        <v>2022</v>
      </c>
      <c r="E23" s="68" t="s">
        <v>172</v>
      </c>
      <c r="F23" s="67" t="s">
        <v>173</v>
      </c>
    </row>
    <row r="24" spans="1:6" ht="31.5" hidden="1">
      <c r="A24" s="69">
        <v>22</v>
      </c>
      <c r="B24" s="68" t="s">
        <v>16</v>
      </c>
      <c r="C24" s="68" t="s">
        <v>194</v>
      </c>
      <c r="D24" s="68">
        <v>2022</v>
      </c>
      <c r="E24" s="68" t="s">
        <v>172</v>
      </c>
      <c r="F24" s="67" t="s">
        <v>173</v>
      </c>
    </row>
    <row r="25" spans="1:6" ht="47.25" hidden="1">
      <c r="A25" s="69">
        <v>23</v>
      </c>
      <c r="B25" s="68" t="s">
        <v>17</v>
      </c>
      <c r="C25" s="68" t="s">
        <v>195</v>
      </c>
      <c r="D25" s="68">
        <v>2022</v>
      </c>
      <c r="E25" s="68" t="s">
        <v>172</v>
      </c>
      <c r="F25" s="67" t="s">
        <v>173</v>
      </c>
    </row>
    <row r="26" spans="1:6" ht="47.25" hidden="1">
      <c r="A26" s="69">
        <v>24</v>
      </c>
      <c r="B26" s="68" t="s">
        <v>196</v>
      </c>
      <c r="C26" s="68" t="s">
        <v>189</v>
      </c>
      <c r="D26" s="68">
        <v>2022</v>
      </c>
      <c r="E26" s="68" t="s">
        <v>172</v>
      </c>
      <c r="F26" s="67" t="s">
        <v>173</v>
      </c>
    </row>
    <row r="27" spans="1:6" ht="47.25" hidden="1">
      <c r="A27" s="69">
        <v>25</v>
      </c>
      <c r="B27" s="68" t="s">
        <v>196</v>
      </c>
      <c r="C27" s="68" t="s">
        <v>197</v>
      </c>
      <c r="D27" s="68">
        <v>2022</v>
      </c>
      <c r="E27" s="68" t="s">
        <v>172</v>
      </c>
      <c r="F27" s="67" t="s">
        <v>173</v>
      </c>
    </row>
    <row r="28" spans="1:6" ht="47.25">
      <c r="A28" s="69">
        <v>26</v>
      </c>
      <c r="B28" s="68" t="s">
        <v>17</v>
      </c>
      <c r="C28" s="68" t="s">
        <v>198</v>
      </c>
      <c r="D28" s="68">
        <v>2021</v>
      </c>
      <c r="E28" s="68" t="s">
        <v>172</v>
      </c>
      <c r="F28" s="67" t="s">
        <v>173</v>
      </c>
    </row>
    <row r="29" spans="1:6" ht="31.5" hidden="1">
      <c r="A29" s="69">
        <v>27</v>
      </c>
      <c r="B29" s="68" t="s">
        <v>199</v>
      </c>
      <c r="C29" s="68" t="s">
        <v>198</v>
      </c>
      <c r="D29" s="68">
        <v>2022</v>
      </c>
      <c r="E29" s="68" t="s">
        <v>172</v>
      </c>
      <c r="F29" s="67" t="s">
        <v>173</v>
      </c>
    </row>
    <row r="30" spans="1:6" ht="31.5">
      <c r="A30" s="69">
        <v>28</v>
      </c>
      <c r="B30" s="68" t="s">
        <v>199</v>
      </c>
      <c r="C30" s="68" t="s">
        <v>200</v>
      </c>
      <c r="D30" s="68">
        <v>2021</v>
      </c>
      <c r="E30" s="68" t="s">
        <v>172</v>
      </c>
      <c r="F30" s="67" t="s">
        <v>173</v>
      </c>
    </row>
    <row r="31" spans="1:6" ht="47.25" hidden="1">
      <c r="A31" s="69">
        <v>29</v>
      </c>
      <c r="B31" s="68" t="s">
        <v>201</v>
      </c>
      <c r="C31" s="68" t="s">
        <v>202</v>
      </c>
      <c r="D31" s="68">
        <v>2022</v>
      </c>
      <c r="E31" s="68" t="s">
        <v>172</v>
      </c>
      <c r="F31" s="67" t="s">
        <v>173</v>
      </c>
    </row>
    <row r="32" spans="1:6" ht="47.25" hidden="1">
      <c r="A32" s="69">
        <v>30</v>
      </c>
      <c r="B32" s="68" t="s">
        <v>201</v>
      </c>
      <c r="C32" s="68" t="s">
        <v>203</v>
      </c>
      <c r="D32" s="68">
        <v>2022</v>
      </c>
      <c r="E32" s="68" t="s">
        <v>172</v>
      </c>
      <c r="F32" s="67" t="s">
        <v>173</v>
      </c>
    </row>
    <row r="33" spans="1:6" ht="47.25" hidden="1">
      <c r="A33" s="69">
        <v>31</v>
      </c>
      <c r="B33" s="68" t="s">
        <v>201</v>
      </c>
      <c r="C33" s="68" t="s">
        <v>204</v>
      </c>
      <c r="D33" s="68">
        <v>2022</v>
      </c>
      <c r="E33" s="68" t="s">
        <v>172</v>
      </c>
      <c r="F33" s="67" t="s">
        <v>173</v>
      </c>
    </row>
    <row r="34" spans="1:6" ht="31.5" hidden="1">
      <c r="A34" s="69">
        <v>32</v>
      </c>
      <c r="B34" s="68" t="s">
        <v>205</v>
      </c>
      <c r="C34" s="68" t="s">
        <v>206</v>
      </c>
      <c r="D34" s="68">
        <v>2022</v>
      </c>
      <c r="E34" s="68" t="s">
        <v>172</v>
      </c>
      <c r="F34" s="67" t="s">
        <v>173</v>
      </c>
    </row>
    <row r="35" spans="1:6" ht="31.5" hidden="1">
      <c r="A35" s="69">
        <v>33</v>
      </c>
      <c r="B35" s="68" t="s">
        <v>12</v>
      </c>
      <c r="C35" s="68" t="s">
        <v>207</v>
      </c>
      <c r="D35" s="68">
        <v>2022</v>
      </c>
      <c r="E35" s="68" t="s">
        <v>172</v>
      </c>
      <c r="F35" s="67" t="s">
        <v>173</v>
      </c>
    </row>
    <row r="36" spans="1:6" ht="31.5" hidden="1">
      <c r="A36" s="69">
        <v>34</v>
      </c>
      <c r="B36" s="68" t="s">
        <v>13</v>
      </c>
      <c r="C36" s="68" t="s">
        <v>200</v>
      </c>
      <c r="D36" s="68">
        <v>2022</v>
      </c>
      <c r="E36" s="68" t="s">
        <v>172</v>
      </c>
      <c r="F36" s="67" t="s">
        <v>173</v>
      </c>
    </row>
    <row r="37" spans="1:6" ht="47.25" hidden="1">
      <c r="A37" s="69">
        <v>35</v>
      </c>
      <c r="B37" s="68" t="s">
        <v>208</v>
      </c>
      <c r="C37" s="68" t="s">
        <v>207</v>
      </c>
      <c r="D37" s="68">
        <v>2022</v>
      </c>
      <c r="E37" s="68" t="s">
        <v>172</v>
      </c>
      <c r="F37" s="67" t="s">
        <v>173</v>
      </c>
    </row>
    <row r="38" spans="1:6" ht="31.5" hidden="1">
      <c r="A38" s="69">
        <v>36</v>
      </c>
      <c r="B38" s="68" t="s">
        <v>209</v>
      </c>
      <c r="C38" s="68" t="s">
        <v>210</v>
      </c>
      <c r="D38" s="68">
        <v>2022</v>
      </c>
      <c r="E38" s="68" t="s">
        <v>172</v>
      </c>
      <c r="F38" s="67" t="s">
        <v>173</v>
      </c>
    </row>
    <row r="39" spans="1:6" ht="47.25" hidden="1">
      <c r="A39" s="69">
        <v>37</v>
      </c>
      <c r="B39" s="68" t="s">
        <v>211</v>
      </c>
      <c r="C39" s="68" t="s">
        <v>212</v>
      </c>
      <c r="D39" s="68">
        <v>2022</v>
      </c>
      <c r="E39" s="68" t="s">
        <v>172</v>
      </c>
      <c r="F39" s="67" t="s">
        <v>173</v>
      </c>
    </row>
    <row r="40" spans="1:6" ht="31.5" hidden="1">
      <c r="A40" s="69">
        <v>38</v>
      </c>
      <c r="B40" s="68" t="s">
        <v>205</v>
      </c>
      <c r="C40" s="68" t="s">
        <v>213</v>
      </c>
      <c r="D40" s="68">
        <v>2022</v>
      </c>
      <c r="E40" s="68" t="s">
        <v>172</v>
      </c>
      <c r="F40" s="67" t="s">
        <v>173</v>
      </c>
    </row>
    <row r="41" spans="1:6" ht="47.25" hidden="1">
      <c r="A41" s="69">
        <v>39</v>
      </c>
      <c r="B41" s="68" t="s">
        <v>214</v>
      </c>
      <c r="C41" s="68" t="s">
        <v>215</v>
      </c>
      <c r="D41" s="68">
        <v>2022</v>
      </c>
      <c r="E41" s="68" t="s">
        <v>172</v>
      </c>
      <c r="F41" s="67" t="s">
        <v>173</v>
      </c>
    </row>
    <row r="42" spans="1:6" ht="31.5" hidden="1">
      <c r="A42" s="69">
        <v>40</v>
      </c>
      <c r="B42" s="68" t="s">
        <v>214</v>
      </c>
      <c r="C42" s="68" t="s">
        <v>216</v>
      </c>
      <c r="D42" s="68">
        <v>2022</v>
      </c>
      <c r="E42" s="68" t="s">
        <v>172</v>
      </c>
      <c r="F42" s="67" t="s">
        <v>173</v>
      </c>
    </row>
    <row r="43" spans="1:6" ht="31.5" hidden="1">
      <c r="A43" s="69">
        <v>41</v>
      </c>
      <c r="B43" s="68" t="s">
        <v>214</v>
      </c>
      <c r="C43" s="68" t="s">
        <v>217</v>
      </c>
      <c r="D43" s="68">
        <v>2022</v>
      </c>
      <c r="E43" s="68" t="s">
        <v>172</v>
      </c>
      <c r="F43" s="67" t="s">
        <v>173</v>
      </c>
    </row>
    <row r="44" spans="1:6" ht="47.25" hidden="1">
      <c r="A44" s="69">
        <v>42</v>
      </c>
      <c r="B44" s="68" t="s">
        <v>218</v>
      </c>
      <c r="C44" s="68" t="s">
        <v>219</v>
      </c>
      <c r="D44" s="68">
        <v>2022</v>
      </c>
      <c r="E44" s="68" t="s">
        <v>172</v>
      </c>
      <c r="F44" s="67" t="s">
        <v>173</v>
      </c>
    </row>
    <row r="45" spans="1:6" ht="31.5" hidden="1">
      <c r="A45" s="69">
        <v>43</v>
      </c>
      <c r="B45" s="68" t="s">
        <v>220</v>
      </c>
      <c r="C45" s="68" t="s">
        <v>187</v>
      </c>
      <c r="D45" s="68">
        <v>2022</v>
      </c>
      <c r="E45" s="68" t="s">
        <v>172</v>
      </c>
      <c r="F45" s="67" t="s">
        <v>173</v>
      </c>
    </row>
    <row r="46" spans="1:6" ht="31.5" hidden="1">
      <c r="A46" s="69">
        <v>44</v>
      </c>
      <c r="B46" s="68" t="s">
        <v>220</v>
      </c>
      <c r="C46" s="68" t="s">
        <v>221</v>
      </c>
      <c r="D46" s="68">
        <v>2019</v>
      </c>
      <c r="E46" s="68" t="s">
        <v>172</v>
      </c>
      <c r="F46" s="67" t="s">
        <v>173</v>
      </c>
    </row>
    <row r="47" spans="1:6" ht="31.5" hidden="1">
      <c r="A47" s="69">
        <v>45</v>
      </c>
      <c r="B47" s="68" t="s">
        <v>220</v>
      </c>
      <c r="C47" s="68" t="s">
        <v>222</v>
      </c>
      <c r="D47" s="68">
        <v>2022</v>
      </c>
      <c r="E47" s="68" t="s">
        <v>172</v>
      </c>
      <c r="F47" s="67" t="s">
        <v>173</v>
      </c>
    </row>
    <row r="48" spans="1:6" ht="47.25">
      <c r="A48" s="69">
        <v>46</v>
      </c>
      <c r="B48" s="68" t="s">
        <v>201</v>
      </c>
      <c r="C48" s="68" t="s">
        <v>223</v>
      </c>
      <c r="D48" s="68">
        <v>2021</v>
      </c>
      <c r="E48" s="68" t="s">
        <v>172</v>
      </c>
      <c r="F48" s="67" t="s">
        <v>173</v>
      </c>
    </row>
    <row r="49" spans="1:6" ht="47.25" hidden="1">
      <c r="A49" s="69">
        <v>47</v>
      </c>
      <c r="B49" s="68" t="s">
        <v>201</v>
      </c>
      <c r="C49" s="68" t="s">
        <v>224</v>
      </c>
      <c r="D49" s="68">
        <v>2022</v>
      </c>
      <c r="E49" s="68" t="s">
        <v>172</v>
      </c>
      <c r="F49" s="67" t="s">
        <v>173</v>
      </c>
    </row>
    <row r="50" spans="1:6" ht="31.5" hidden="1">
      <c r="A50" s="69">
        <v>48</v>
      </c>
      <c r="B50" s="68" t="s">
        <v>214</v>
      </c>
      <c r="C50" s="68" t="s">
        <v>225</v>
      </c>
      <c r="D50" s="68">
        <v>2022</v>
      </c>
      <c r="E50" s="68" t="s">
        <v>172</v>
      </c>
      <c r="F50" s="67" t="s">
        <v>173</v>
      </c>
    </row>
    <row r="51" spans="1:6" ht="31.5" hidden="1">
      <c r="A51" s="69">
        <v>49</v>
      </c>
      <c r="B51" s="68" t="s">
        <v>199</v>
      </c>
      <c r="C51" s="68" t="s">
        <v>198</v>
      </c>
      <c r="D51" s="68">
        <v>2022</v>
      </c>
      <c r="E51" s="68" t="s">
        <v>172</v>
      </c>
      <c r="F51" s="67" t="s">
        <v>173</v>
      </c>
    </row>
    <row r="52" spans="1:6" ht="47.25">
      <c r="A52" s="69">
        <v>50</v>
      </c>
      <c r="B52" s="68" t="s">
        <v>226</v>
      </c>
      <c r="C52" s="68" t="s">
        <v>227</v>
      </c>
      <c r="D52" s="68">
        <v>2021</v>
      </c>
      <c r="E52" s="68" t="s">
        <v>172</v>
      </c>
      <c r="F52" s="67" t="s">
        <v>173</v>
      </c>
    </row>
    <row r="53" spans="1:6" ht="47.25" hidden="1">
      <c r="A53" s="69">
        <v>51</v>
      </c>
      <c r="B53" s="68" t="s">
        <v>226</v>
      </c>
      <c r="C53" s="68" t="s">
        <v>228</v>
      </c>
      <c r="D53" s="68">
        <v>2022</v>
      </c>
      <c r="E53" s="68" t="s">
        <v>172</v>
      </c>
      <c r="F53" s="67" t="s">
        <v>173</v>
      </c>
    </row>
    <row r="54" spans="1:6" ht="31.5" hidden="1">
      <c r="A54" s="69">
        <v>52</v>
      </c>
      <c r="B54" s="68" t="s">
        <v>229</v>
      </c>
      <c r="C54" s="68" t="s">
        <v>230</v>
      </c>
      <c r="D54" s="68">
        <v>2022</v>
      </c>
      <c r="E54" s="68" t="s">
        <v>172</v>
      </c>
      <c r="F54" s="67" t="s">
        <v>173</v>
      </c>
    </row>
    <row r="55" spans="1:6" ht="47.25" hidden="1">
      <c r="A55" s="69">
        <v>53</v>
      </c>
      <c r="B55" s="68" t="s">
        <v>226</v>
      </c>
      <c r="C55" s="68" t="s">
        <v>231</v>
      </c>
      <c r="D55" s="68">
        <v>2022</v>
      </c>
      <c r="E55" s="68" t="s">
        <v>172</v>
      </c>
      <c r="F55" s="67" t="s">
        <v>173</v>
      </c>
    </row>
    <row r="56" spans="1:6" ht="31.5" hidden="1">
      <c r="A56" s="69">
        <v>54</v>
      </c>
      <c r="B56" s="68" t="s">
        <v>232</v>
      </c>
      <c r="C56" s="68" t="s">
        <v>233</v>
      </c>
      <c r="D56" s="68">
        <v>2022</v>
      </c>
      <c r="E56" s="68" t="s">
        <v>172</v>
      </c>
      <c r="F56" s="67" t="s">
        <v>173</v>
      </c>
    </row>
    <row r="57" spans="1:6" ht="31.5" hidden="1">
      <c r="A57" s="69">
        <v>55</v>
      </c>
      <c r="B57" s="68" t="s">
        <v>234</v>
      </c>
      <c r="C57" s="68" t="s">
        <v>235</v>
      </c>
      <c r="D57" s="68">
        <v>2022</v>
      </c>
      <c r="E57" s="68" t="s">
        <v>172</v>
      </c>
      <c r="F57" s="67" t="s">
        <v>173</v>
      </c>
    </row>
    <row r="58" spans="1:6" ht="31.5" hidden="1">
      <c r="A58" s="69">
        <v>56</v>
      </c>
      <c r="B58" s="68" t="s">
        <v>234</v>
      </c>
      <c r="C58" s="68" t="s">
        <v>236</v>
      </c>
      <c r="D58" s="68">
        <v>2022</v>
      </c>
      <c r="E58" s="68" t="s">
        <v>172</v>
      </c>
      <c r="F58" s="67" t="s">
        <v>173</v>
      </c>
    </row>
    <row r="59" spans="1:6" ht="47.25" hidden="1">
      <c r="A59" s="69">
        <v>57</v>
      </c>
      <c r="B59" s="68" t="s">
        <v>237</v>
      </c>
      <c r="C59" s="68" t="s">
        <v>238</v>
      </c>
      <c r="D59" s="68">
        <v>2019</v>
      </c>
      <c r="E59" s="68" t="s">
        <v>172</v>
      </c>
      <c r="F59" s="67" t="s">
        <v>173</v>
      </c>
    </row>
    <row r="60" spans="1:6" ht="47.25" hidden="1">
      <c r="A60" s="69">
        <v>58</v>
      </c>
      <c r="B60" s="68" t="s">
        <v>239</v>
      </c>
      <c r="C60" s="68" t="s">
        <v>240</v>
      </c>
      <c r="D60" s="68">
        <v>2019</v>
      </c>
      <c r="E60" s="68" t="s">
        <v>172</v>
      </c>
      <c r="F60" s="67" t="s">
        <v>173</v>
      </c>
    </row>
    <row r="61" spans="1:6" ht="63">
      <c r="A61" s="69">
        <v>59</v>
      </c>
      <c r="B61" s="68" t="s">
        <v>8</v>
      </c>
      <c r="C61" s="68" t="s">
        <v>241</v>
      </c>
      <c r="D61" s="68">
        <v>2020</v>
      </c>
      <c r="E61" s="68" t="s">
        <v>172</v>
      </c>
      <c r="F61" s="67" t="s">
        <v>173</v>
      </c>
    </row>
    <row r="62" spans="1:6" ht="47.25">
      <c r="A62" s="69">
        <v>60</v>
      </c>
      <c r="B62" s="68" t="s">
        <v>242</v>
      </c>
      <c r="C62" s="68" t="s">
        <v>243</v>
      </c>
      <c r="D62" s="68">
        <v>2018</v>
      </c>
      <c r="E62" s="68" t="s">
        <v>172</v>
      </c>
      <c r="F62" s="67" t="s">
        <v>173</v>
      </c>
    </row>
    <row r="63" spans="1:6" ht="47.25" hidden="1">
      <c r="A63" s="69">
        <v>61</v>
      </c>
      <c r="B63" s="68" t="s">
        <v>242</v>
      </c>
      <c r="C63" s="68" t="s">
        <v>244</v>
      </c>
      <c r="D63" s="68">
        <v>2019</v>
      </c>
      <c r="E63" s="68" t="s">
        <v>172</v>
      </c>
      <c r="F63" s="67" t="s">
        <v>173</v>
      </c>
    </row>
    <row r="64" spans="1:6" ht="31.5" hidden="1">
      <c r="A64" s="69">
        <v>62</v>
      </c>
      <c r="B64" s="68" t="s">
        <v>245</v>
      </c>
      <c r="C64" s="68" t="s">
        <v>246</v>
      </c>
      <c r="D64" s="68">
        <v>2019</v>
      </c>
      <c r="E64" s="68" t="s">
        <v>172</v>
      </c>
      <c r="F64" s="67" t="s">
        <v>173</v>
      </c>
    </row>
    <row r="65" spans="1:6" ht="31.5" hidden="1">
      <c r="A65" s="69">
        <v>63</v>
      </c>
      <c r="B65" s="68" t="s">
        <v>11</v>
      </c>
      <c r="C65" s="68" t="s">
        <v>247</v>
      </c>
      <c r="D65" s="68">
        <v>2022</v>
      </c>
      <c r="E65" s="68" t="s">
        <v>172</v>
      </c>
      <c r="F65" s="67" t="s">
        <v>173</v>
      </c>
    </row>
    <row r="66" spans="1:6" ht="31.5" hidden="1">
      <c r="A66" s="69">
        <v>64</v>
      </c>
      <c r="B66" s="68" t="s">
        <v>248</v>
      </c>
      <c r="C66" s="68" t="s">
        <v>249</v>
      </c>
      <c r="D66" s="68">
        <v>2022</v>
      </c>
      <c r="E66" s="68" t="s">
        <v>172</v>
      </c>
      <c r="F66" s="67" t="s">
        <v>173</v>
      </c>
    </row>
    <row r="67" spans="1:6" ht="31.5">
      <c r="A67" s="69">
        <v>65</v>
      </c>
      <c r="B67" s="68" t="s">
        <v>250</v>
      </c>
      <c r="C67" s="68" t="s">
        <v>251</v>
      </c>
      <c r="D67" s="68">
        <v>2021</v>
      </c>
      <c r="E67" s="68" t="s">
        <v>172</v>
      </c>
      <c r="F67" s="67" t="s">
        <v>173</v>
      </c>
    </row>
    <row r="68" spans="1:6" ht="63" hidden="1">
      <c r="A68" s="69">
        <v>66</v>
      </c>
      <c r="B68" s="68" t="s">
        <v>252</v>
      </c>
      <c r="C68" s="68" t="s">
        <v>253</v>
      </c>
      <c r="D68" s="68">
        <v>2022</v>
      </c>
      <c r="E68" s="68" t="s">
        <v>172</v>
      </c>
      <c r="F68" s="67" t="s">
        <v>173</v>
      </c>
    </row>
    <row r="69" spans="1:6" ht="31.5" hidden="1">
      <c r="A69" s="69">
        <v>67</v>
      </c>
      <c r="B69" s="68" t="s">
        <v>254</v>
      </c>
      <c r="C69" s="68" t="s">
        <v>255</v>
      </c>
      <c r="D69" s="68">
        <v>2022</v>
      </c>
      <c r="E69" s="68" t="s">
        <v>172</v>
      </c>
      <c r="F69" s="67" t="s">
        <v>173</v>
      </c>
    </row>
    <row r="70" spans="1:6" ht="47.25" hidden="1">
      <c r="A70" s="69">
        <v>68</v>
      </c>
      <c r="B70" s="68" t="s">
        <v>256</v>
      </c>
      <c r="C70" s="68" t="s">
        <v>230</v>
      </c>
      <c r="D70" s="68">
        <v>2022</v>
      </c>
      <c r="E70" s="68" t="s">
        <v>172</v>
      </c>
      <c r="F70" s="67" t="s">
        <v>173</v>
      </c>
    </row>
    <row r="71" spans="1:6" ht="31.5" hidden="1">
      <c r="A71" s="69">
        <v>69</v>
      </c>
      <c r="B71" s="68" t="s">
        <v>257</v>
      </c>
      <c r="C71" s="68" t="s">
        <v>187</v>
      </c>
      <c r="D71" s="68">
        <v>2022</v>
      </c>
      <c r="E71" s="68" t="s">
        <v>172</v>
      </c>
      <c r="F71" s="67" t="s">
        <v>173</v>
      </c>
    </row>
    <row r="72" spans="1:6" ht="31.5">
      <c r="A72" s="69">
        <v>70</v>
      </c>
      <c r="B72" s="68" t="s">
        <v>257</v>
      </c>
      <c r="C72" s="68" t="s">
        <v>258</v>
      </c>
      <c r="D72" s="68">
        <v>2021</v>
      </c>
      <c r="E72" s="68" t="s">
        <v>172</v>
      </c>
      <c r="F72" s="67" t="s">
        <v>173</v>
      </c>
    </row>
    <row r="73" spans="1:6" ht="47.25" hidden="1">
      <c r="A73" s="69">
        <v>71</v>
      </c>
      <c r="B73" s="68" t="s">
        <v>259</v>
      </c>
      <c r="C73" s="68" t="s">
        <v>260</v>
      </c>
      <c r="D73" s="68">
        <v>2022</v>
      </c>
      <c r="E73" s="68" t="s">
        <v>172</v>
      </c>
      <c r="F73" s="67" t="s">
        <v>173</v>
      </c>
    </row>
    <row r="74" spans="1:6" ht="31.5" hidden="1">
      <c r="A74" s="69">
        <v>72</v>
      </c>
      <c r="B74" s="68" t="s">
        <v>261</v>
      </c>
      <c r="C74" s="68" t="s">
        <v>262</v>
      </c>
      <c r="D74" s="68">
        <v>2022</v>
      </c>
      <c r="E74" s="68" t="s">
        <v>172</v>
      </c>
      <c r="F74" s="67" t="s">
        <v>173</v>
      </c>
    </row>
    <row r="75" spans="1:6" ht="31.5" hidden="1">
      <c r="A75" s="69">
        <v>73</v>
      </c>
      <c r="B75" s="68" t="s">
        <v>261</v>
      </c>
      <c r="C75" s="68" t="s">
        <v>263</v>
      </c>
      <c r="D75" s="68">
        <v>2022</v>
      </c>
      <c r="E75" s="68" t="s">
        <v>172</v>
      </c>
      <c r="F75" s="67" t="s">
        <v>173</v>
      </c>
    </row>
    <row r="76" spans="1:6" ht="31.5" hidden="1">
      <c r="A76" s="69">
        <v>74</v>
      </c>
      <c r="B76" s="68" t="s">
        <v>264</v>
      </c>
      <c r="C76" s="68" t="s">
        <v>265</v>
      </c>
      <c r="D76" s="68">
        <v>2022</v>
      </c>
      <c r="E76" s="68" t="s">
        <v>172</v>
      </c>
      <c r="F76" s="67" t="s">
        <v>173</v>
      </c>
    </row>
    <row r="77" spans="1:6" ht="47.25" hidden="1">
      <c r="A77" s="69">
        <v>75</v>
      </c>
      <c r="B77" s="68" t="s">
        <v>266</v>
      </c>
      <c r="C77" s="68" t="s">
        <v>267</v>
      </c>
      <c r="D77" s="68">
        <v>2022</v>
      </c>
      <c r="E77" s="68" t="s">
        <v>172</v>
      </c>
      <c r="F77" s="67" t="s">
        <v>173</v>
      </c>
    </row>
    <row r="78" spans="1:6" ht="47.25" hidden="1">
      <c r="A78" s="69">
        <v>76</v>
      </c>
      <c r="B78" s="68" t="s">
        <v>268</v>
      </c>
      <c r="C78" s="68" t="s">
        <v>269</v>
      </c>
      <c r="D78" s="68">
        <v>2022</v>
      </c>
      <c r="E78" s="68" t="s">
        <v>172</v>
      </c>
      <c r="F78" s="67" t="s">
        <v>173</v>
      </c>
    </row>
    <row r="79" spans="1:6" ht="47.25">
      <c r="A79" s="69">
        <v>77</v>
      </c>
      <c r="B79" s="68" t="s">
        <v>268</v>
      </c>
      <c r="C79" s="68" t="s">
        <v>228</v>
      </c>
      <c r="D79" s="68">
        <v>2021</v>
      </c>
      <c r="E79" s="68" t="s">
        <v>172</v>
      </c>
      <c r="F79" s="67" t="s">
        <v>173</v>
      </c>
    </row>
    <row r="80" spans="1:6" ht="47.25" hidden="1">
      <c r="A80" s="69">
        <v>78</v>
      </c>
      <c r="B80" s="68" t="s">
        <v>268</v>
      </c>
      <c r="C80" s="68" t="s">
        <v>270</v>
      </c>
      <c r="D80" s="68">
        <v>2022</v>
      </c>
      <c r="E80" s="68" t="s">
        <v>172</v>
      </c>
      <c r="F80" s="67" t="s">
        <v>173</v>
      </c>
    </row>
    <row r="81" spans="1:6" ht="47.25" hidden="1">
      <c r="A81" s="69">
        <v>79</v>
      </c>
      <c r="B81" s="68" t="s">
        <v>259</v>
      </c>
      <c r="C81" s="68" t="s">
        <v>271</v>
      </c>
      <c r="D81" s="68">
        <v>2022</v>
      </c>
      <c r="E81" s="68" t="s">
        <v>172</v>
      </c>
      <c r="F81" s="67" t="s">
        <v>173</v>
      </c>
    </row>
    <row r="82" spans="1:6" ht="31.5" hidden="1">
      <c r="A82" s="69">
        <v>80</v>
      </c>
      <c r="B82" s="68" t="s">
        <v>264</v>
      </c>
      <c r="C82" s="68" t="s">
        <v>272</v>
      </c>
      <c r="D82" s="68">
        <v>2022</v>
      </c>
      <c r="E82" s="68" t="s">
        <v>172</v>
      </c>
      <c r="F82" s="67" t="s">
        <v>173</v>
      </c>
    </row>
    <row r="83" spans="1:6" ht="31.5" hidden="1">
      <c r="A83" s="69">
        <v>81</v>
      </c>
      <c r="B83" s="68" t="s">
        <v>254</v>
      </c>
      <c r="C83" s="68" t="s">
        <v>273</v>
      </c>
      <c r="D83" s="68">
        <v>2022</v>
      </c>
      <c r="E83" s="68" t="s">
        <v>172</v>
      </c>
      <c r="F83" s="67" t="s">
        <v>173</v>
      </c>
    </row>
    <row r="84" spans="1:6" ht="47.25">
      <c r="A84" s="69">
        <v>82</v>
      </c>
      <c r="B84" s="68" t="s">
        <v>274</v>
      </c>
      <c r="C84" s="68" t="s">
        <v>275</v>
      </c>
      <c r="D84" s="68">
        <v>2020</v>
      </c>
      <c r="E84" s="68" t="s">
        <v>172</v>
      </c>
      <c r="F84" s="67" t="s">
        <v>173</v>
      </c>
    </row>
    <row r="85" spans="1:6" ht="47.25" hidden="1">
      <c r="A85" s="69">
        <v>83</v>
      </c>
      <c r="B85" s="68" t="s">
        <v>274</v>
      </c>
      <c r="C85" s="68" t="s">
        <v>189</v>
      </c>
      <c r="D85" s="68">
        <v>2022</v>
      </c>
      <c r="E85" s="68" t="s">
        <v>172</v>
      </c>
      <c r="F85" s="67" t="s">
        <v>173</v>
      </c>
    </row>
    <row r="86" spans="1:6" ht="47.25" hidden="1">
      <c r="A86" s="69">
        <v>84</v>
      </c>
      <c r="B86" s="68" t="s">
        <v>274</v>
      </c>
      <c r="C86" s="68" t="s">
        <v>276</v>
      </c>
      <c r="D86" s="68">
        <v>2022</v>
      </c>
      <c r="E86" s="68" t="s">
        <v>172</v>
      </c>
      <c r="F86" s="67" t="s">
        <v>173</v>
      </c>
    </row>
    <row r="87" spans="1:6" ht="47.25" hidden="1">
      <c r="A87" s="69">
        <v>85</v>
      </c>
      <c r="B87" s="68" t="s">
        <v>274</v>
      </c>
      <c r="C87" s="68" t="s">
        <v>204</v>
      </c>
      <c r="D87" s="68">
        <v>2022</v>
      </c>
      <c r="E87" s="68" t="s">
        <v>172</v>
      </c>
      <c r="F87" s="67" t="s">
        <v>173</v>
      </c>
    </row>
    <row r="88" spans="1:6" ht="47.25" hidden="1">
      <c r="A88" s="69">
        <v>86</v>
      </c>
      <c r="B88" s="68" t="s">
        <v>268</v>
      </c>
      <c r="C88" s="68" t="s">
        <v>277</v>
      </c>
      <c r="D88" s="68">
        <v>2022</v>
      </c>
      <c r="E88" s="68" t="s">
        <v>172</v>
      </c>
      <c r="F88" s="67" t="s">
        <v>173</v>
      </c>
    </row>
    <row r="89" spans="1:6" ht="47.25">
      <c r="A89" s="69">
        <v>87</v>
      </c>
      <c r="B89" s="68" t="s">
        <v>278</v>
      </c>
      <c r="C89" s="68" t="s">
        <v>279</v>
      </c>
      <c r="D89" s="68">
        <v>2020</v>
      </c>
      <c r="E89" s="68" t="s">
        <v>172</v>
      </c>
      <c r="F89" s="67" t="s">
        <v>173</v>
      </c>
    </row>
    <row r="90" spans="1:6" ht="47.25" hidden="1">
      <c r="A90" s="69">
        <v>88</v>
      </c>
      <c r="B90" s="68" t="s">
        <v>280</v>
      </c>
      <c r="C90" s="68" t="s">
        <v>281</v>
      </c>
      <c r="D90" s="68">
        <v>2022</v>
      </c>
      <c r="E90" s="68" t="s">
        <v>172</v>
      </c>
      <c r="F90" s="67" t="s">
        <v>173</v>
      </c>
    </row>
    <row r="91" spans="1:6" ht="31.5">
      <c r="A91" s="69">
        <v>89</v>
      </c>
      <c r="B91" s="68" t="s">
        <v>282</v>
      </c>
      <c r="C91" s="68" t="s">
        <v>283</v>
      </c>
      <c r="D91" s="68">
        <v>2018</v>
      </c>
      <c r="E91" s="68" t="s">
        <v>172</v>
      </c>
      <c r="F91" s="67" t="s">
        <v>173</v>
      </c>
    </row>
    <row r="92" spans="1:6" ht="31.5" hidden="1">
      <c r="A92" s="69">
        <v>90</v>
      </c>
      <c r="B92" s="68" t="s">
        <v>284</v>
      </c>
      <c r="C92" s="68" t="s">
        <v>285</v>
      </c>
      <c r="D92" s="68">
        <v>2019</v>
      </c>
      <c r="E92" s="68" t="s">
        <v>172</v>
      </c>
      <c r="F92" s="67" t="s">
        <v>173</v>
      </c>
    </row>
    <row r="93" spans="1:6" ht="47.25" hidden="1">
      <c r="A93" s="69">
        <v>91</v>
      </c>
      <c r="B93" s="68" t="s">
        <v>286</v>
      </c>
      <c r="C93" s="68" t="s">
        <v>287</v>
      </c>
      <c r="D93" s="68">
        <v>2019</v>
      </c>
      <c r="E93" s="68" t="s">
        <v>172</v>
      </c>
      <c r="F93" s="67" t="s">
        <v>173</v>
      </c>
    </row>
    <row r="94" spans="1:6" ht="31.5">
      <c r="A94" s="69">
        <v>92</v>
      </c>
      <c r="B94" s="68" t="s">
        <v>288</v>
      </c>
      <c r="C94" s="68" t="s">
        <v>289</v>
      </c>
      <c r="D94" s="68">
        <v>2021</v>
      </c>
      <c r="E94" s="68" t="s">
        <v>172</v>
      </c>
      <c r="F94" s="67" t="s">
        <v>173</v>
      </c>
    </row>
    <row r="95" spans="1:6" ht="31.5">
      <c r="A95" s="69">
        <v>93</v>
      </c>
      <c r="B95" s="68" t="s">
        <v>290</v>
      </c>
      <c r="C95" s="68" t="s">
        <v>222</v>
      </c>
      <c r="D95" s="68">
        <v>2017</v>
      </c>
      <c r="E95" s="68" t="s">
        <v>172</v>
      </c>
      <c r="F95" s="67" t="s">
        <v>173</v>
      </c>
    </row>
    <row r="96" spans="1:6" ht="31.5">
      <c r="A96" s="69">
        <v>94</v>
      </c>
      <c r="B96" s="68" t="s">
        <v>291</v>
      </c>
      <c r="C96" s="68" t="s">
        <v>270</v>
      </c>
      <c r="D96" s="68">
        <v>2020</v>
      </c>
      <c r="E96" s="68" t="s">
        <v>172</v>
      </c>
      <c r="F96" s="67" t="s">
        <v>173</v>
      </c>
    </row>
    <row r="97" spans="1:6" ht="31.5" hidden="1">
      <c r="A97" s="69">
        <v>95</v>
      </c>
      <c r="B97" s="68" t="s">
        <v>292</v>
      </c>
      <c r="C97" s="68" t="s">
        <v>293</v>
      </c>
      <c r="D97" s="68">
        <v>2022</v>
      </c>
      <c r="E97" s="68" t="s">
        <v>172</v>
      </c>
      <c r="F97" s="67" t="s">
        <v>173</v>
      </c>
    </row>
    <row r="98" spans="1:6" ht="31.5">
      <c r="A98" s="69">
        <v>96</v>
      </c>
      <c r="B98" s="68" t="s">
        <v>294</v>
      </c>
      <c r="C98" s="68" t="s">
        <v>272</v>
      </c>
      <c r="D98" s="68">
        <v>2018</v>
      </c>
      <c r="E98" s="68" t="s">
        <v>172</v>
      </c>
      <c r="F98" s="67" t="s">
        <v>173</v>
      </c>
    </row>
    <row r="99" spans="1:6" ht="31.5">
      <c r="A99" s="69">
        <v>97</v>
      </c>
      <c r="B99" s="68" t="s">
        <v>295</v>
      </c>
      <c r="C99" s="68" t="s">
        <v>235</v>
      </c>
      <c r="D99" s="68">
        <v>2021</v>
      </c>
      <c r="E99" s="68" t="s">
        <v>172</v>
      </c>
      <c r="F99" s="67" t="s">
        <v>173</v>
      </c>
    </row>
    <row r="100" spans="1:6" ht="31.5" hidden="1">
      <c r="A100" s="69">
        <v>98</v>
      </c>
      <c r="B100" s="68" t="s">
        <v>296</v>
      </c>
      <c r="C100" s="68" t="s">
        <v>297</v>
      </c>
      <c r="D100" s="68">
        <v>2019</v>
      </c>
      <c r="E100" s="68" t="s">
        <v>172</v>
      </c>
      <c r="F100" s="67" t="s">
        <v>173</v>
      </c>
    </row>
    <row r="101" spans="1:6" ht="47.25">
      <c r="A101" s="69">
        <v>99</v>
      </c>
      <c r="B101" s="68" t="s">
        <v>298</v>
      </c>
      <c r="C101" s="68" t="s">
        <v>240</v>
      </c>
      <c r="D101" s="68">
        <v>2020</v>
      </c>
      <c r="E101" s="68" t="s">
        <v>172</v>
      </c>
      <c r="F101" s="67" t="s">
        <v>173</v>
      </c>
    </row>
    <row r="102" spans="1:6" ht="31.5">
      <c r="A102" s="69">
        <v>100</v>
      </c>
      <c r="B102" s="68" t="s">
        <v>299</v>
      </c>
      <c r="C102" s="68" t="s">
        <v>300</v>
      </c>
      <c r="D102" s="68">
        <v>2018</v>
      </c>
      <c r="E102" s="68" t="s">
        <v>172</v>
      </c>
      <c r="F102" s="67" t="s">
        <v>173</v>
      </c>
    </row>
    <row r="103" spans="1:6" ht="31.5">
      <c r="A103" s="69">
        <v>101</v>
      </c>
      <c r="B103" s="68" t="s">
        <v>301</v>
      </c>
      <c r="C103" s="68" t="s">
        <v>302</v>
      </c>
      <c r="D103" s="68">
        <v>2021</v>
      </c>
      <c r="E103" s="68" t="s">
        <v>172</v>
      </c>
      <c r="F103" s="67" t="s">
        <v>173</v>
      </c>
    </row>
    <row r="104" spans="1:6" ht="31.5">
      <c r="A104" s="69">
        <v>102</v>
      </c>
      <c r="B104" s="68" t="s">
        <v>303</v>
      </c>
      <c r="C104" s="68" t="s">
        <v>302</v>
      </c>
      <c r="D104" s="68">
        <v>2021</v>
      </c>
      <c r="E104" s="68" t="s">
        <v>172</v>
      </c>
      <c r="F104" s="67" t="s">
        <v>173</v>
      </c>
    </row>
    <row r="105" spans="1:6" ht="31.5" hidden="1">
      <c r="A105" s="69">
        <v>103</v>
      </c>
      <c r="B105" s="68" t="s">
        <v>304</v>
      </c>
      <c r="C105" s="68" t="s">
        <v>305</v>
      </c>
      <c r="D105" s="68">
        <v>2019</v>
      </c>
      <c r="E105" s="68" t="s">
        <v>172</v>
      </c>
      <c r="F105" s="67" t="s">
        <v>173</v>
      </c>
    </row>
    <row r="106" spans="1:6" ht="47.25">
      <c r="A106" s="69">
        <v>104</v>
      </c>
      <c r="B106" s="68" t="s">
        <v>18</v>
      </c>
      <c r="C106" s="68" t="s">
        <v>306</v>
      </c>
      <c r="D106" s="68">
        <v>2020</v>
      </c>
      <c r="E106" s="68" t="s">
        <v>172</v>
      </c>
      <c r="F106" s="67" t="s">
        <v>173</v>
      </c>
    </row>
    <row r="107" spans="1:6" ht="47.25">
      <c r="A107" s="69">
        <v>105</v>
      </c>
      <c r="B107" s="68" t="s">
        <v>307</v>
      </c>
      <c r="C107" s="68" t="s">
        <v>308</v>
      </c>
      <c r="D107" s="68">
        <v>2021</v>
      </c>
      <c r="E107" s="68" t="s">
        <v>309</v>
      </c>
      <c r="F107" s="67" t="s">
        <v>310</v>
      </c>
    </row>
    <row r="108" spans="1:6" ht="47.25" hidden="1">
      <c r="A108" s="69">
        <v>106</v>
      </c>
      <c r="B108" s="68" t="s">
        <v>311</v>
      </c>
      <c r="C108" s="68" t="s">
        <v>312</v>
      </c>
      <c r="D108" s="68">
        <v>2019</v>
      </c>
      <c r="E108" s="68" t="s">
        <v>172</v>
      </c>
      <c r="F108" s="67" t="s">
        <v>173</v>
      </c>
    </row>
    <row r="109" spans="1:6" ht="31.5" hidden="1">
      <c r="A109" s="69">
        <v>107</v>
      </c>
      <c r="B109" s="68" t="s">
        <v>313</v>
      </c>
      <c r="C109" s="68" t="s">
        <v>314</v>
      </c>
      <c r="D109" s="68">
        <v>2019</v>
      </c>
      <c r="E109" s="68" t="s">
        <v>172</v>
      </c>
      <c r="F109" s="67" t="s">
        <v>173</v>
      </c>
    </row>
    <row r="110" spans="1:6" ht="31.5" hidden="1">
      <c r="A110" s="69">
        <v>108</v>
      </c>
      <c r="B110" s="68" t="s">
        <v>315</v>
      </c>
      <c r="C110" s="68" t="s">
        <v>316</v>
      </c>
      <c r="D110" s="68">
        <v>2019</v>
      </c>
      <c r="E110" s="68" t="s">
        <v>172</v>
      </c>
      <c r="F110" s="67" t="s">
        <v>173</v>
      </c>
    </row>
    <row r="111" spans="1:6" ht="63" hidden="1">
      <c r="A111" s="69">
        <v>109</v>
      </c>
      <c r="B111" s="68" t="s">
        <v>317</v>
      </c>
      <c r="C111" s="68" t="s">
        <v>318</v>
      </c>
      <c r="D111" s="68">
        <v>2019</v>
      </c>
      <c r="E111" s="68" t="s">
        <v>172</v>
      </c>
      <c r="F111" s="67" t="s">
        <v>173</v>
      </c>
    </row>
    <row r="112" spans="1:6" ht="31.5" hidden="1">
      <c r="A112" s="69">
        <v>110</v>
      </c>
      <c r="B112" s="68" t="s">
        <v>319</v>
      </c>
      <c r="C112" s="68" t="s">
        <v>320</v>
      </c>
      <c r="D112" s="68">
        <v>2019</v>
      </c>
      <c r="E112" s="68" t="s">
        <v>172</v>
      </c>
      <c r="F112" s="67" t="s">
        <v>173</v>
      </c>
    </row>
    <row r="113" spans="1:6" ht="31.5" hidden="1">
      <c r="A113" s="69">
        <v>111</v>
      </c>
      <c r="B113" s="68" t="s">
        <v>321</v>
      </c>
      <c r="C113" s="68" t="s">
        <v>322</v>
      </c>
      <c r="D113" s="68">
        <v>2019</v>
      </c>
      <c r="E113" s="68" t="s">
        <v>172</v>
      </c>
      <c r="F113" s="67" t="s">
        <v>173</v>
      </c>
    </row>
    <row r="114" spans="1:6" ht="31.5" hidden="1">
      <c r="A114" s="69">
        <v>112</v>
      </c>
      <c r="B114" s="68" t="s">
        <v>264</v>
      </c>
      <c r="C114" s="68" t="s">
        <v>323</v>
      </c>
      <c r="D114" s="68">
        <v>2022</v>
      </c>
      <c r="E114" s="68" t="s">
        <v>172</v>
      </c>
      <c r="F114" s="67" t="s">
        <v>173</v>
      </c>
    </row>
    <row r="115" spans="1:6" ht="47.25" hidden="1">
      <c r="A115" s="69">
        <v>113</v>
      </c>
      <c r="B115" s="68" t="s">
        <v>324</v>
      </c>
      <c r="C115" s="68" t="s">
        <v>325</v>
      </c>
      <c r="D115" s="68">
        <v>2019</v>
      </c>
      <c r="E115" s="68" t="s">
        <v>172</v>
      </c>
      <c r="F115" s="67" t="s">
        <v>173</v>
      </c>
    </row>
    <row r="116" spans="1:6" ht="31.5" hidden="1">
      <c r="A116" s="69">
        <v>114</v>
      </c>
      <c r="B116" s="68" t="s">
        <v>326</v>
      </c>
      <c r="C116" s="68" t="s">
        <v>327</v>
      </c>
      <c r="D116" s="68">
        <v>2016</v>
      </c>
      <c r="E116" s="68" t="s">
        <v>172</v>
      </c>
      <c r="F116" s="67" t="s">
        <v>173</v>
      </c>
    </row>
    <row r="117" spans="1:6" ht="31.5">
      <c r="A117" s="69">
        <v>115</v>
      </c>
      <c r="B117" s="68" t="s">
        <v>328</v>
      </c>
      <c r="C117" s="68" t="s">
        <v>329</v>
      </c>
      <c r="D117" s="68">
        <v>2018</v>
      </c>
      <c r="E117" s="68" t="s">
        <v>172</v>
      </c>
      <c r="F117" s="67" t="s">
        <v>173</v>
      </c>
    </row>
    <row r="118" spans="1:6" ht="31.5">
      <c r="A118" s="69">
        <v>116</v>
      </c>
      <c r="B118" s="68" t="s">
        <v>330</v>
      </c>
      <c r="C118" s="68" t="s">
        <v>331</v>
      </c>
      <c r="D118" s="68">
        <v>2021</v>
      </c>
      <c r="E118" s="68" t="s">
        <v>172</v>
      </c>
      <c r="F118" s="67" t="s">
        <v>173</v>
      </c>
    </row>
    <row r="119" spans="1:6" ht="47.25">
      <c r="A119" s="69">
        <v>117</v>
      </c>
      <c r="B119" s="68" t="s">
        <v>332</v>
      </c>
      <c r="C119" s="68" t="s">
        <v>333</v>
      </c>
      <c r="D119" s="68">
        <v>2021</v>
      </c>
      <c r="E119" s="68" t="s">
        <v>172</v>
      </c>
      <c r="F119" s="67" t="s">
        <v>173</v>
      </c>
    </row>
    <row r="120" spans="1:6" ht="47.25">
      <c r="A120" s="69">
        <v>118</v>
      </c>
      <c r="B120" s="68" t="s">
        <v>334</v>
      </c>
      <c r="C120" s="68" t="s">
        <v>335</v>
      </c>
      <c r="D120" s="68">
        <v>2018</v>
      </c>
      <c r="E120" s="68" t="s">
        <v>172</v>
      </c>
      <c r="F120" s="67" t="s">
        <v>173</v>
      </c>
    </row>
    <row r="121" spans="1:6" ht="63">
      <c r="A121" s="69">
        <v>119</v>
      </c>
      <c r="B121" s="68" t="s">
        <v>336</v>
      </c>
      <c r="C121" s="68" t="s">
        <v>337</v>
      </c>
      <c r="D121" s="68">
        <v>2021</v>
      </c>
      <c r="E121" s="68" t="s">
        <v>172</v>
      </c>
      <c r="F121" s="67" t="s">
        <v>173</v>
      </c>
    </row>
    <row r="122" spans="1:6" ht="31.5" hidden="1">
      <c r="A122" s="69">
        <v>120</v>
      </c>
      <c r="B122" s="68" t="s">
        <v>338</v>
      </c>
      <c r="C122" s="68" t="s">
        <v>207</v>
      </c>
      <c r="D122" s="68">
        <v>2019</v>
      </c>
      <c r="E122" s="68" t="s">
        <v>172</v>
      </c>
      <c r="F122" s="67" t="s">
        <v>173</v>
      </c>
    </row>
    <row r="123" spans="1:6" ht="31.5" hidden="1">
      <c r="A123" s="69">
        <v>121</v>
      </c>
      <c r="B123" s="68" t="s">
        <v>334</v>
      </c>
      <c r="C123" s="68" t="s">
        <v>339</v>
      </c>
      <c r="D123" s="68">
        <v>2019</v>
      </c>
      <c r="E123" s="68" t="s">
        <v>172</v>
      </c>
      <c r="F123" s="67" t="s">
        <v>173</v>
      </c>
    </row>
    <row r="124" spans="1:6" ht="31.5">
      <c r="A124" s="69">
        <v>122</v>
      </c>
      <c r="B124" s="68" t="s">
        <v>340</v>
      </c>
      <c r="C124" s="68" t="s">
        <v>341</v>
      </c>
      <c r="D124" s="68">
        <v>2021</v>
      </c>
      <c r="E124" s="68" t="s">
        <v>172</v>
      </c>
      <c r="F124" s="67" t="s">
        <v>173</v>
      </c>
    </row>
    <row r="125" spans="1:6" ht="31.5" hidden="1">
      <c r="A125" s="69">
        <v>123</v>
      </c>
      <c r="B125" s="68" t="s">
        <v>342</v>
      </c>
      <c r="C125" s="68" t="s">
        <v>343</v>
      </c>
      <c r="D125" s="68">
        <v>2022</v>
      </c>
      <c r="E125" s="68" t="s">
        <v>172</v>
      </c>
      <c r="F125" s="67" t="s">
        <v>173</v>
      </c>
    </row>
    <row r="126" spans="1:6" ht="31.5" hidden="1">
      <c r="A126" s="69">
        <v>124</v>
      </c>
      <c r="B126" s="68" t="s">
        <v>344</v>
      </c>
      <c r="C126" s="68" t="s">
        <v>345</v>
      </c>
      <c r="D126" s="68">
        <v>2019</v>
      </c>
      <c r="E126" s="68" t="s">
        <v>172</v>
      </c>
      <c r="F126" s="67" t="s">
        <v>173</v>
      </c>
    </row>
    <row r="127" spans="1:6" ht="31.5">
      <c r="A127" s="69">
        <v>125</v>
      </c>
      <c r="B127" s="68" t="s">
        <v>342</v>
      </c>
      <c r="C127" s="68" t="s">
        <v>346</v>
      </c>
      <c r="D127" s="68">
        <v>2020</v>
      </c>
      <c r="E127" s="68" t="s">
        <v>172</v>
      </c>
      <c r="F127" s="67" t="s">
        <v>173</v>
      </c>
    </row>
    <row r="128" spans="1:6" ht="31.5" hidden="1">
      <c r="A128" s="69">
        <v>126</v>
      </c>
      <c r="B128" s="68" t="s">
        <v>347</v>
      </c>
      <c r="C128" s="68" t="s">
        <v>222</v>
      </c>
      <c r="D128" s="68">
        <v>2019</v>
      </c>
      <c r="E128" s="68" t="s">
        <v>172</v>
      </c>
      <c r="F128" s="67" t="s">
        <v>173</v>
      </c>
    </row>
    <row r="129" spans="1:6" ht="47.25" hidden="1">
      <c r="A129" s="69">
        <v>127</v>
      </c>
      <c r="B129" s="68" t="s">
        <v>348</v>
      </c>
      <c r="C129" s="68" t="s">
        <v>349</v>
      </c>
      <c r="D129" s="68">
        <v>2019</v>
      </c>
      <c r="E129" s="68" t="s">
        <v>172</v>
      </c>
      <c r="F129" s="67" t="s">
        <v>173</v>
      </c>
    </row>
    <row r="130" spans="1:6" ht="47.25" hidden="1">
      <c r="A130" s="69">
        <v>128</v>
      </c>
      <c r="B130" s="68" t="s">
        <v>350</v>
      </c>
      <c r="C130" s="68" t="s">
        <v>351</v>
      </c>
      <c r="D130" s="68">
        <v>2019</v>
      </c>
      <c r="E130" s="68" t="s">
        <v>172</v>
      </c>
      <c r="F130" s="67" t="s">
        <v>173</v>
      </c>
    </row>
    <row r="131" spans="1:6" ht="47.25" hidden="1">
      <c r="A131" s="69">
        <v>129</v>
      </c>
      <c r="B131" s="68" t="s">
        <v>352</v>
      </c>
      <c r="C131" s="68" t="s">
        <v>353</v>
      </c>
      <c r="D131" s="68">
        <v>2019</v>
      </c>
      <c r="E131" s="68" t="s">
        <v>172</v>
      </c>
      <c r="F131" s="67" t="s">
        <v>173</v>
      </c>
    </row>
    <row r="132" spans="1:6" ht="47.25" hidden="1">
      <c r="A132" s="69">
        <v>130</v>
      </c>
      <c r="B132" s="68" t="s">
        <v>354</v>
      </c>
      <c r="C132" s="68" t="s">
        <v>355</v>
      </c>
      <c r="D132" s="68">
        <v>2022</v>
      </c>
      <c r="E132" s="68" t="s">
        <v>172</v>
      </c>
      <c r="F132" s="67" t="s">
        <v>173</v>
      </c>
    </row>
    <row r="133" spans="1:6" ht="31.5">
      <c r="A133" s="69">
        <v>131</v>
      </c>
      <c r="B133" s="68" t="s">
        <v>356</v>
      </c>
      <c r="C133" s="68" t="s">
        <v>357</v>
      </c>
      <c r="D133" s="68">
        <v>2021</v>
      </c>
      <c r="E133" s="68" t="s">
        <v>172</v>
      </c>
      <c r="F133" s="67" t="s">
        <v>173</v>
      </c>
    </row>
    <row r="134" spans="1:6" ht="31.5">
      <c r="A134" s="69">
        <v>132</v>
      </c>
      <c r="B134" s="68" t="s">
        <v>358</v>
      </c>
      <c r="C134" s="68" t="s">
        <v>359</v>
      </c>
      <c r="D134" s="68">
        <v>2020</v>
      </c>
      <c r="E134" s="68" t="s">
        <v>172</v>
      </c>
      <c r="F134" s="67" t="s">
        <v>173</v>
      </c>
    </row>
    <row r="135" spans="1:6" ht="31.5" hidden="1">
      <c r="A135" s="69">
        <v>133</v>
      </c>
      <c r="B135" s="68" t="s">
        <v>199</v>
      </c>
      <c r="C135" s="68" t="s">
        <v>191</v>
      </c>
      <c r="D135" s="68">
        <v>2022</v>
      </c>
      <c r="E135" s="68" t="s">
        <v>172</v>
      </c>
      <c r="F135" s="67" t="s">
        <v>173</v>
      </c>
    </row>
    <row r="136" spans="1:6" ht="31.5">
      <c r="A136" s="69">
        <v>134</v>
      </c>
      <c r="B136" s="68" t="s">
        <v>360</v>
      </c>
      <c r="C136" s="68" t="s">
        <v>361</v>
      </c>
      <c r="D136" s="68">
        <v>2021</v>
      </c>
      <c r="E136" s="68" t="s">
        <v>172</v>
      </c>
      <c r="F136" s="67" t="s">
        <v>173</v>
      </c>
    </row>
  </sheetData>
  <autoFilter ref="A2:F136">
    <filterColumn colId="3">
      <filters>
        <filter val="2017"/>
        <filter val="2018"/>
        <filter val="2020"/>
        <filter val="2021"/>
      </filters>
    </filterColumn>
  </autoFilter>
  <mergeCells count="1">
    <mergeCell ref="A1:F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D90"/>
  <sheetViews>
    <sheetView workbookViewId="0">
      <selection sqref="A1:XFD1"/>
    </sheetView>
  </sheetViews>
  <sheetFormatPr defaultRowHeight="14.25"/>
  <cols>
    <col min="1" max="1" width="9.140625" style="102"/>
    <col min="2" max="2" width="41.85546875" style="115" customWidth="1"/>
    <col min="3" max="3" width="25.7109375" style="115" customWidth="1"/>
    <col min="4" max="4" width="15.28515625" style="115" customWidth="1"/>
    <col min="5" max="16384" width="9.140625" style="102"/>
  </cols>
  <sheetData>
    <row r="1" spans="1:4" ht="29.25" customHeight="1" thickBot="1">
      <c r="A1" s="151" t="s">
        <v>540</v>
      </c>
      <c r="B1" s="152"/>
      <c r="C1" s="152"/>
      <c r="D1" s="153"/>
    </row>
    <row r="2" spans="1:4" ht="15.75">
      <c r="A2" s="74" t="s">
        <v>502</v>
      </c>
      <c r="B2" s="116" t="s">
        <v>363</v>
      </c>
      <c r="C2" s="116" t="s">
        <v>364</v>
      </c>
      <c r="D2" s="116" t="s">
        <v>503</v>
      </c>
    </row>
    <row r="3" spans="1:4" ht="15.75">
      <c r="A3" s="69">
        <v>84</v>
      </c>
      <c r="B3" s="68" t="s">
        <v>495</v>
      </c>
      <c r="C3" s="68" t="s">
        <v>387</v>
      </c>
      <c r="D3" s="71">
        <v>35136</v>
      </c>
    </row>
    <row r="4" spans="1:4" ht="31.5">
      <c r="A4" s="69">
        <v>43</v>
      </c>
      <c r="B4" s="68" t="s">
        <v>429</v>
      </c>
      <c r="C4" s="68" t="s">
        <v>195</v>
      </c>
      <c r="D4" s="71">
        <v>35136</v>
      </c>
    </row>
    <row r="5" spans="1:4" ht="31.5">
      <c r="A5" s="69">
        <v>30</v>
      </c>
      <c r="B5" s="68" t="s">
        <v>412</v>
      </c>
      <c r="C5" s="68" t="s">
        <v>413</v>
      </c>
      <c r="D5" s="71">
        <v>35136</v>
      </c>
    </row>
    <row r="6" spans="1:4" ht="31.5">
      <c r="A6" s="69">
        <v>1</v>
      </c>
      <c r="B6" s="68" t="s">
        <v>369</v>
      </c>
      <c r="C6" s="68" t="s">
        <v>370</v>
      </c>
      <c r="D6" s="71">
        <v>35136</v>
      </c>
    </row>
    <row r="7" spans="1:4" ht="47.25">
      <c r="A7" s="69">
        <v>46</v>
      </c>
      <c r="B7" s="68" t="s">
        <v>432</v>
      </c>
      <c r="C7" s="68" t="s">
        <v>433</v>
      </c>
      <c r="D7" s="71">
        <v>35136</v>
      </c>
    </row>
    <row r="8" spans="1:4" ht="31.5">
      <c r="A8" s="69">
        <v>22</v>
      </c>
      <c r="B8" s="68" t="s">
        <v>403</v>
      </c>
      <c r="C8" s="68" t="s">
        <v>404</v>
      </c>
      <c r="D8" s="71">
        <v>35136</v>
      </c>
    </row>
    <row r="9" spans="1:4" ht="31.5">
      <c r="A9" s="69">
        <v>33</v>
      </c>
      <c r="B9" s="68" t="s">
        <v>418</v>
      </c>
      <c r="C9" s="68" t="s">
        <v>419</v>
      </c>
      <c r="D9" s="71">
        <v>35136</v>
      </c>
    </row>
    <row r="10" spans="1:4" ht="15.75">
      <c r="A10" s="69">
        <v>73</v>
      </c>
      <c r="B10" s="68" t="s">
        <v>478</v>
      </c>
      <c r="C10" s="68" t="s">
        <v>178</v>
      </c>
      <c r="D10" s="71">
        <v>35136</v>
      </c>
    </row>
    <row r="11" spans="1:4" ht="15.75">
      <c r="A11" s="69">
        <v>74</v>
      </c>
      <c r="B11" s="68" t="s">
        <v>478</v>
      </c>
      <c r="C11" s="68" t="s">
        <v>397</v>
      </c>
      <c r="D11" s="71">
        <v>35136</v>
      </c>
    </row>
    <row r="12" spans="1:4" ht="15.75">
      <c r="A12" s="69">
        <v>18</v>
      </c>
      <c r="B12" s="68" t="s">
        <v>254</v>
      </c>
      <c r="C12" s="68" t="s">
        <v>397</v>
      </c>
      <c r="D12" s="71">
        <v>35136</v>
      </c>
    </row>
    <row r="13" spans="1:4" ht="31.5">
      <c r="A13" s="69">
        <v>31</v>
      </c>
      <c r="B13" s="68" t="s">
        <v>414</v>
      </c>
      <c r="C13" s="68" t="s">
        <v>415</v>
      </c>
      <c r="D13" s="71">
        <v>35136</v>
      </c>
    </row>
    <row r="14" spans="1:4" ht="31.5">
      <c r="A14" s="69">
        <v>26</v>
      </c>
      <c r="B14" s="68" t="s">
        <v>234</v>
      </c>
      <c r="C14" s="68" t="s">
        <v>408</v>
      </c>
      <c r="D14" s="71">
        <v>35136</v>
      </c>
    </row>
    <row r="15" spans="1:4" ht="31.5">
      <c r="A15" s="69">
        <v>13</v>
      </c>
      <c r="B15" s="68" t="s">
        <v>392</v>
      </c>
      <c r="C15" s="68" t="s">
        <v>393</v>
      </c>
      <c r="D15" s="71">
        <v>35136</v>
      </c>
    </row>
    <row r="16" spans="1:4" ht="15.75">
      <c r="A16" s="69">
        <v>75</v>
      </c>
      <c r="B16" s="68" t="s">
        <v>479</v>
      </c>
      <c r="C16" s="68" t="s">
        <v>480</v>
      </c>
      <c r="D16" s="71">
        <v>35136</v>
      </c>
    </row>
    <row r="17" spans="1:4" ht="15.75">
      <c r="A17" s="69">
        <v>76</v>
      </c>
      <c r="B17" s="68" t="s">
        <v>479</v>
      </c>
      <c r="C17" s="68" t="s">
        <v>481</v>
      </c>
      <c r="D17" s="71">
        <v>35136</v>
      </c>
    </row>
    <row r="18" spans="1:4" ht="31.5">
      <c r="A18" s="69">
        <v>41</v>
      </c>
      <c r="B18" s="68" t="s">
        <v>350</v>
      </c>
      <c r="C18" s="68" t="s">
        <v>351</v>
      </c>
      <c r="D18" s="71">
        <v>35136</v>
      </c>
    </row>
    <row r="19" spans="1:4" ht="31.5">
      <c r="A19" s="69">
        <v>39</v>
      </c>
      <c r="B19" s="68" t="s">
        <v>214</v>
      </c>
      <c r="C19" s="68" t="s">
        <v>216</v>
      </c>
      <c r="D19" s="71">
        <v>35136</v>
      </c>
    </row>
    <row r="20" spans="1:4" ht="31.5">
      <c r="A20" s="69">
        <v>40</v>
      </c>
      <c r="B20" s="68" t="s">
        <v>214</v>
      </c>
      <c r="C20" s="68" t="s">
        <v>215</v>
      </c>
      <c r="D20" s="71">
        <v>35136</v>
      </c>
    </row>
    <row r="21" spans="1:4" ht="31.5">
      <c r="A21" s="69">
        <v>44</v>
      </c>
      <c r="B21" s="68" t="s">
        <v>430</v>
      </c>
      <c r="C21" s="68" t="s">
        <v>204</v>
      </c>
      <c r="D21" s="71">
        <v>35136</v>
      </c>
    </row>
    <row r="22" spans="1:4" ht="31.5">
      <c r="A22" s="69">
        <v>19</v>
      </c>
      <c r="B22" s="68" t="s">
        <v>196</v>
      </c>
      <c r="C22" s="68" t="s">
        <v>398</v>
      </c>
      <c r="D22" s="71">
        <v>35136</v>
      </c>
    </row>
    <row r="23" spans="1:4" ht="31.5">
      <c r="A23" s="69">
        <v>5</v>
      </c>
      <c r="B23" s="68" t="s">
        <v>377</v>
      </c>
      <c r="C23" s="68" t="s">
        <v>378</v>
      </c>
      <c r="D23" s="71">
        <v>35136</v>
      </c>
    </row>
    <row r="24" spans="1:4" ht="31.5">
      <c r="A24" s="69">
        <v>45</v>
      </c>
      <c r="B24" s="68" t="s">
        <v>431</v>
      </c>
      <c r="C24" s="68" t="s">
        <v>189</v>
      </c>
      <c r="D24" s="71">
        <v>35136</v>
      </c>
    </row>
    <row r="25" spans="1:4" ht="15.75">
      <c r="A25" s="69">
        <v>14</v>
      </c>
      <c r="B25" s="68" t="s">
        <v>205</v>
      </c>
      <c r="C25" s="68" t="s">
        <v>387</v>
      </c>
      <c r="D25" s="71">
        <v>35136</v>
      </c>
    </row>
    <row r="26" spans="1:4" ht="15.75">
      <c r="A26" s="69">
        <v>53</v>
      </c>
      <c r="B26" s="68" t="s">
        <v>205</v>
      </c>
      <c r="C26" s="68" t="s">
        <v>446</v>
      </c>
      <c r="D26" s="72">
        <v>44319</v>
      </c>
    </row>
    <row r="27" spans="1:4" ht="15.75">
      <c r="A27" s="69">
        <v>63</v>
      </c>
      <c r="B27" s="68" t="s">
        <v>199</v>
      </c>
      <c r="C27" s="68" t="s">
        <v>462</v>
      </c>
      <c r="D27" s="72">
        <v>44319</v>
      </c>
    </row>
    <row r="28" spans="1:4" ht="31.5">
      <c r="A28" s="69">
        <v>7</v>
      </c>
      <c r="B28" s="68" t="s">
        <v>381</v>
      </c>
      <c r="C28" s="68" t="s">
        <v>179</v>
      </c>
      <c r="D28" s="72">
        <v>44319</v>
      </c>
    </row>
    <row r="29" spans="1:4" ht="31.5">
      <c r="A29" s="69">
        <v>20</v>
      </c>
      <c r="B29" s="68" t="s">
        <v>399</v>
      </c>
      <c r="C29" s="68" t="s">
        <v>400</v>
      </c>
      <c r="D29" s="72">
        <v>44319</v>
      </c>
    </row>
    <row r="30" spans="1:4" ht="15.75">
      <c r="A30" s="69">
        <v>87</v>
      </c>
      <c r="B30" s="68" t="s">
        <v>500</v>
      </c>
      <c r="C30" s="68" t="s">
        <v>501</v>
      </c>
      <c r="D30" s="72">
        <v>44319</v>
      </c>
    </row>
    <row r="31" spans="1:4" ht="31.5">
      <c r="A31" s="69">
        <v>16</v>
      </c>
      <c r="B31" s="68" t="s">
        <v>395</v>
      </c>
      <c r="C31" s="68" t="s">
        <v>393</v>
      </c>
      <c r="D31" s="72">
        <v>44319</v>
      </c>
    </row>
    <row r="32" spans="1:4" ht="15.75">
      <c r="A32" s="69">
        <v>24</v>
      </c>
      <c r="B32" s="68" t="s">
        <v>220</v>
      </c>
      <c r="C32" s="68" t="s">
        <v>222</v>
      </c>
      <c r="D32" s="72">
        <v>44319</v>
      </c>
    </row>
    <row r="33" spans="1:4" ht="31.5">
      <c r="A33" s="69">
        <v>25</v>
      </c>
      <c r="B33" s="68" t="s">
        <v>232</v>
      </c>
      <c r="C33" s="68" t="s">
        <v>407</v>
      </c>
      <c r="D33" s="72">
        <v>44319</v>
      </c>
    </row>
    <row r="34" spans="1:4" ht="15.75">
      <c r="A34" s="69">
        <v>70</v>
      </c>
      <c r="B34" s="68" t="s">
        <v>473</v>
      </c>
      <c r="C34" s="68" t="s">
        <v>474</v>
      </c>
      <c r="D34" s="72">
        <v>44319</v>
      </c>
    </row>
    <row r="35" spans="1:4" ht="31.5">
      <c r="A35" s="69">
        <v>86</v>
      </c>
      <c r="B35" s="68" t="s">
        <v>498</v>
      </c>
      <c r="C35" s="68" t="s">
        <v>499</v>
      </c>
      <c r="D35" s="72">
        <v>44319</v>
      </c>
    </row>
    <row r="36" spans="1:4" ht="47.25">
      <c r="A36" s="69">
        <v>36</v>
      </c>
      <c r="B36" s="68" t="s">
        <v>423</v>
      </c>
      <c r="C36" s="68" t="s">
        <v>424</v>
      </c>
      <c r="D36" s="72">
        <v>44319</v>
      </c>
    </row>
    <row r="37" spans="1:4" ht="15.75">
      <c r="A37" s="69">
        <v>11</v>
      </c>
      <c r="B37" s="68" t="s">
        <v>388</v>
      </c>
      <c r="C37" s="68" t="s">
        <v>389</v>
      </c>
      <c r="D37" s="72">
        <v>44319</v>
      </c>
    </row>
    <row r="38" spans="1:4" ht="31.5">
      <c r="A38" s="69">
        <v>77</v>
      </c>
      <c r="B38" s="68" t="s">
        <v>482</v>
      </c>
      <c r="C38" s="68" t="s">
        <v>483</v>
      </c>
      <c r="D38" s="72">
        <v>44319</v>
      </c>
    </row>
    <row r="39" spans="1:4" ht="31.5">
      <c r="A39" s="69">
        <v>78</v>
      </c>
      <c r="B39" s="68" t="s">
        <v>484</v>
      </c>
      <c r="C39" s="68" t="s">
        <v>485</v>
      </c>
      <c r="D39" s="72">
        <v>44319</v>
      </c>
    </row>
    <row r="40" spans="1:4" ht="31.5">
      <c r="A40" s="69">
        <v>29</v>
      </c>
      <c r="B40" s="68" t="s">
        <v>410</v>
      </c>
      <c r="C40" s="68" t="s">
        <v>411</v>
      </c>
      <c r="D40" s="72">
        <v>44319</v>
      </c>
    </row>
    <row r="41" spans="1:4" ht="47.25">
      <c r="A41" s="69">
        <v>57</v>
      </c>
      <c r="B41" s="68" t="s">
        <v>453</v>
      </c>
      <c r="C41" s="68" t="s">
        <v>393</v>
      </c>
      <c r="D41" s="70">
        <v>44823</v>
      </c>
    </row>
    <row r="42" spans="1:4" ht="31.5">
      <c r="A42" s="69">
        <v>60</v>
      </c>
      <c r="B42" s="68" t="s">
        <v>458</v>
      </c>
      <c r="C42" s="68" t="s">
        <v>445</v>
      </c>
      <c r="D42" s="70">
        <v>44823</v>
      </c>
    </row>
    <row r="43" spans="1:4" ht="31.5">
      <c r="A43" s="69">
        <v>34</v>
      </c>
      <c r="B43" s="68" t="s">
        <v>420</v>
      </c>
      <c r="C43" s="68" t="s">
        <v>421</v>
      </c>
      <c r="D43" s="70">
        <v>44823</v>
      </c>
    </row>
    <row r="44" spans="1:4" ht="15.75">
      <c r="A44" s="69">
        <v>32</v>
      </c>
      <c r="B44" s="68" t="s">
        <v>416</v>
      </c>
      <c r="C44" s="68" t="s">
        <v>417</v>
      </c>
      <c r="D44" s="70">
        <v>44823</v>
      </c>
    </row>
    <row r="45" spans="1:4" ht="31.5">
      <c r="A45" s="69">
        <v>23</v>
      </c>
      <c r="B45" s="68" t="s">
        <v>405</v>
      </c>
      <c r="C45" s="68" t="s">
        <v>406</v>
      </c>
      <c r="D45" s="70">
        <v>44823</v>
      </c>
    </row>
    <row r="46" spans="1:4" ht="31.5">
      <c r="A46" s="69">
        <v>2</v>
      </c>
      <c r="B46" s="68" t="s">
        <v>371</v>
      </c>
      <c r="C46" s="68" t="s">
        <v>372</v>
      </c>
      <c r="D46" s="70">
        <v>44823</v>
      </c>
    </row>
    <row r="47" spans="1:4" ht="31.5">
      <c r="A47" s="69">
        <v>38</v>
      </c>
      <c r="B47" s="68" t="s">
        <v>427</v>
      </c>
      <c r="C47" s="68" t="s">
        <v>428</v>
      </c>
      <c r="D47" s="70">
        <v>44823</v>
      </c>
    </row>
    <row r="48" spans="1:4" ht="15.75">
      <c r="A48" s="69">
        <v>55</v>
      </c>
      <c r="B48" s="68" t="s">
        <v>449</v>
      </c>
      <c r="C48" s="68" t="s">
        <v>450</v>
      </c>
      <c r="D48" s="70">
        <v>44823</v>
      </c>
    </row>
    <row r="49" spans="1:4" ht="15.75">
      <c r="A49" s="69">
        <v>35</v>
      </c>
      <c r="B49" s="68" t="s">
        <v>422</v>
      </c>
      <c r="C49" s="68" t="s">
        <v>217</v>
      </c>
      <c r="D49" s="70">
        <v>44823</v>
      </c>
    </row>
    <row r="50" spans="1:4" ht="31.5">
      <c r="A50" s="69">
        <v>64</v>
      </c>
      <c r="B50" s="68" t="s">
        <v>463</v>
      </c>
      <c r="C50" s="68" t="s">
        <v>464</v>
      </c>
      <c r="D50" s="70">
        <v>44943</v>
      </c>
    </row>
    <row r="51" spans="1:4" ht="31.5">
      <c r="A51" s="69">
        <v>27</v>
      </c>
      <c r="B51" s="68" t="s">
        <v>409</v>
      </c>
      <c r="C51" s="68" t="s">
        <v>240</v>
      </c>
      <c r="D51" s="70">
        <v>44943</v>
      </c>
    </row>
    <row r="52" spans="1:4" ht="31.5">
      <c r="A52" s="69">
        <v>54</v>
      </c>
      <c r="B52" s="68" t="s">
        <v>447</v>
      </c>
      <c r="C52" s="68" t="s">
        <v>448</v>
      </c>
      <c r="D52" s="70">
        <v>44943</v>
      </c>
    </row>
    <row r="53" spans="1:4" ht="15.75">
      <c r="A53" s="69">
        <v>49</v>
      </c>
      <c r="B53" s="68" t="s">
        <v>438</v>
      </c>
      <c r="C53" s="68" t="s">
        <v>439</v>
      </c>
      <c r="D53" s="70">
        <v>44943</v>
      </c>
    </row>
    <row r="54" spans="1:4" ht="47.25">
      <c r="A54" s="69">
        <v>52</v>
      </c>
      <c r="B54" s="68" t="s">
        <v>444</v>
      </c>
      <c r="C54" s="68" t="s">
        <v>445</v>
      </c>
      <c r="D54" s="70">
        <v>44943</v>
      </c>
    </row>
    <row r="55" spans="1:4" ht="31.5">
      <c r="A55" s="69">
        <v>81</v>
      </c>
      <c r="B55" s="68" t="s">
        <v>490</v>
      </c>
      <c r="C55" s="68" t="s">
        <v>460</v>
      </c>
      <c r="D55" s="70">
        <v>44943</v>
      </c>
    </row>
    <row r="56" spans="1:4" ht="31.5">
      <c r="A56" s="69">
        <v>4</v>
      </c>
      <c r="B56" s="68" t="s">
        <v>375</v>
      </c>
      <c r="C56" s="68" t="s">
        <v>376</v>
      </c>
      <c r="D56" s="70">
        <v>44943</v>
      </c>
    </row>
    <row r="57" spans="1:4" ht="15.75">
      <c r="A57" s="69">
        <v>10</v>
      </c>
      <c r="B57" s="68" t="s">
        <v>386</v>
      </c>
      <c r="C57" s="68" t="s">
        <v>387</v>
      </c>
      <c r="D57" s="70">
        <v>44943</v>
      </c>
    </row>
    <row r="58" spans="1:4" ht="15.75">
      <c r="A58" s="69">
        <v>58</v>
      </c>
      <c r="B58" s="68" t="s">
        <v>454</v>
      </c>
      <c r="C58" s="68" t="s">
        <v>455</v>
      </c>
      <c r="D58" s="70">
        <v>44943</v>
      </c>
    </row>
    <row r="59" spans="1:4" ht="31.5">
      <c r="A59" s="69">
        <v>3</v>
      </c>
      <c r="B59" s="68" t="s">
        <v>373</v>
      </c>
      <c r="C59" s="68" t="s">
        <v>374</v>
      </c>
      <c r="D59" s="70">
        <v>44943</v>
      </c>
    </row>
    <row r="60" spans="1:4" ht="31.5">
      <c r="A60" s="69">
        <v>47</v>
      </c>
      <c r="B60" s="68" t="s">
        <v>434</v>
      </c>
      <c r="C60" s="68" t="s">
        <v>435</v>
      </c>
      <c r="D60" s="70">
        <v>44943</v>
      </c>
    </row>
    <row r="61" spans="1:4" ht="15.75">
      <c r="A61" s="69">
        <v>17</v>
      </c>
      <c r="B61" s="68" t="s">
        <v>396</v>
      </c>
      <c r="C61" s="68" t="s">
        <v>387</v>
      </c>
      <c r="D61" s="70">
        <v>44943</v>
      </c>
    </row>
    <row r="62" spans="1:4" ht="31.5">
      <c r="A62" s="69">
        <v>79</v>
      </c>
      <c r="B62" s="68" t="s">
        <v>486</v>
      </c>
      <c r="C62" s="68" t="s">
        <v>487</v>
      </c>
      <c r="D62" s="70">
        <v>45204</v>
      </c>
    </row>
    <row r="63" spans="1:4" ht="31.5">
      <c r="A63" s="69">
        <v>72</v>
      </c>
      <c r="B63" s="68" t="s">
        <v>477</v>
      </c>
      <c r="C63" s="68" t="s">
        <v>275</v>
      </c>
      <c r="D63" s="70">
        <v>45204</v>
      </c>
    </row>
    <row r="64" spans="1:4" ht="15.75">
      <c r="A64" s="69">
        <v>71</v>
      </c>
      <c r="B64" s="68" t="s">
        <v>475</v>
      </c>
      <c r="C64" s="68" t="s">
        <v>476</v>
      </c>
      <c r="D64" s="70">
        <v>45204</v>
      </c>
    </row>
    <row r="65" spans="1:4" ht="31.5">
      <c r="A65" s="69">
        <v>65</v>
      </c>
      <c r="B65" s="68" t="s">
        <v>465</v>
      </c>
      <c r="C65" s="68" t="s">
        <v>466</v>
      </c>
      <c r="D65" s="70">
        <v>45232</v>
      </c>
    </row>
    <row r="66" spans="1:4" ht="31.5">
      <c r="A66" s="69">
        <v>66</v>
      </c>
      <c r="B66" s="68" t="s">
        <v>467</v>
      </c>
      <c r="C66" s="68" t="s">
        <v>466</v>
      </c>
      <c r="D66" s="70">
        <v>45232</v>
      </c>
    </row>
    <row r="67" spans="1:4" ht="15.75">
      <c r="A67" s="69">
        <v>61</v>
      </c>
      <c r="B67" s="68" t="s">
        <v>459</v>
      </c>
      <c r="C67" s="68" t="s">
        <v>460</v>
      </c>
      <c r="D67" s="70">
        <v>45232</v>
      </c>
    </row>
    <row r="68" spans="1:4" ht="31.5">
      <c r="A68" s="69">
        <v>9</v>
      </c>
      <c r="B68" s="68" t="s">
        <v>384</v>
      </c>
      <c r="C68" s="68" t="s">
        <v>385</v>
      </c>
      <c r="D68" s="70">
        <v>45232</v>
      </c>
    </row>
    <row r="69" spans="1:4" ht="31.5">
      <c r="A69" s="69">
        <v>12</v>
      </c>
      <c r="B69" s="68" t="s">
        <v>390</v>
      </c>
      <c r="C69" s="68" t="s">
        <v>391</v>
      </c>
      <c r="D69" s="70">
        <v>45232</v>
      </c>
    </row>
    <row r="70" spans="1:4" ht="31.5">
      <c r="A70" s="69">
        <v>8</v>
      </c>
      <c r="B70" s="68" t="s">
        <v>382</v>
      </c>
      <c r="C70" s="68" t="s">
        <v>383</v>
      </c>
      <c r="D70" s="70">
        <v>45232</v>
      </c>
    </row>
    <row r="71" spans="1:4" ht="15.75">
      <c r="A71" s="69">
        <v>6</v>
      </c>
      <c r="B71" s="68" t="s">
        <v>379</v>
      </c>
      <c r="C71" s="68" t="s">
        <v>380</v>
      </c>
      <c r="D71" s="70">
        <v>45232</v>
      </c>
    </row>
    <row r="72" spans="1:4" ht="31.5">
      <c r="A72" s="69">
        <v>83</v>
      </c>
      <c r="B72" s="68" t="s">
        <v>493</v>
      </c>
      <c r="C72" s="68" t="s">
        <v>494</v>
      </c>
      <c r="D72" s="70">
        <v>45338</v>
      </c>
    </row>
    <row r="73" spans="1:4" ht="15.75">
      <c r="A73" s="69">
        <v>42</v>
      </c>
      <c r="B73" s="68" t="s">
        <v>358</v>
      </c>
      <c r="C73" s="68" t="s">
        <v>359</v>
      </c>
      <c r="D73" s="70">
        <v>45338</v>
      </c>
    </row>
    <row r="74" spans="1:4" ht="31.5">
      <c r="A74" s="69">
        <v>59</v>
      </c>
      <c r="B74" s="68" t="s">
        <v>456</v>
      </c>
      <c r="C74" s="68" t="s">
        <v>457</v>
      </c>
      <c r="D74" s="70">
        <v>45363</v>
      </c>
    </row>
    <row r="75" spans="1:4" ht="31.5">
      <c r="A75" s="69">
        <v>82</v>
      </c>
      <c r="B75" s="68" t="s">
        <v>491</v>
      </c>
      <c r="C75" s="68" t="s">
        <v>492</v>
      </c>
      <c r="D75" s="70">
        <v>45363</v>
      </c>
    </row>
    <row r="76" spans="1:4" ht="47.25">
      <c r="A76" s="69">
        <v>28</v>
      </c>
      <c r="B76" s="68" t="s">
        <v>317</v>
      </c>
      <c r="C76" s="68" t="s">
        <v>318</v>
      </c>
      <c r="D76" s="70">
        <v>45363</v>
      </c>
    </row>
    <row r="77" spans="1:4" ht="15.75">
      <c r="A77" s="69">
        <v>48</v>
      </c>
      <c r="B77" s="68" t="s">
        <v>436</v>
      </c>
      <c r="C77" s="68" t="s">
        <v>437</v>
      </c>
      <c r="D77" s="70">
        <v>45363</v>
      </c>
    </row>
    <row r="78" spans="1:4" ht="31.5">
      <c r="A78" s="69">
        <v>67</v>
      </c>
      <c r="B78" s="68" t="s">
        <v>468</v>
      </c>
      <c r="C78" s="68" t="s">
        <v>469</v>
      </c>
      <c r="D78" s="70">
        <v>45363</v>
      </c>
    </row>
    <row r="79" spans="1:4" ht="31.5">
      <c r="A79" s="69">
        <v>68</v>
      </c>
      <c r="B79" s="68" t="s">
        <v>470</v>
      </c>
      <c r="C79" s="68" t="s">
        <v>469</v>
      </c>
      <c r="D79" s="70">
        <v>45363</v>
      </c>
    </row>
    <row r="80" spans="1:4" ht="31.5">
      <c r="A80" s="69">
        <v>37</v>
      </c>
      <c r="B80" s="68" t="s">
        <v>425</v>
      </c>
      <c r="C80" s="68" t="s">
        <v>426</v>
      </c>
      <c r="D80" s="73" t="s">
        <v>5</v>
      </c>
    </row>
    <row r="81" spans="1:4" ht="31.5">
      <c r="A81" s="69">
        <v>62</v>
      </c>
      <c r="B81" s="68" t="s">
        <v>461</v>
      </c>
      <c r="C81" s="68" t="s">
        <v>462</v>
      </c>
      <c r="D81" s="73" t="s">
        <v>5</v>
      </c>
    </row>
    <row r="82" spans="1:4" ht="31.5">
      <c r="A82" s="69">
        <v>51</v>
      </c>
      <c r="B82" s="68" t="s">
        <v>442</v>
      </c>
      <c r="C82" s="68" t="s">
        <v>443</v>
      </c>
      <c r="D82" s="73" t="s">
        <v>5</v>
      </c>
    </row>
    <row r="83" spans="1:4" ht="15.75">
      <c r="A83" s="69">
        <v>56</v>
      </c>
      <c r="B83" s="68" t="s">
        <v>451</v>
      </c>
      <c r="C83" s="68" t="s">
        <v>452</v>
      </c>
      <c r="D83" s="73" t="s">
        <v>5</v>
      </c>
    </row>
    <row r="84" spans="1:4" ht="31.5">
      <c r="A84" s="69">
        <v>50</v>
      </c>
      <c r="B84" s="68" t="s">
        <v>440</v>
      </c>
      <c r="C84" s="68" t="s">
        <v>441</v>
      </c>
      <c r="D84" s="73" t="s">
        <v>5</v>
      </c>
    </row>
    <row r="85" spans="1:4" ht="31.5">
      <c r="A85" s="69">
        <v>15</v>
      </c>
      <c r="B85" s="68" t="s">
        <v>394</v>
      </c>
      <c r="C85" s="68" t="s">
        <v>393</v>
      </c>
      <c r="D85" s="73" t="s">
        <v>5</v>
      </c>
    </row>
    <row r="86" spans="1:4" ht="31.5">
      <c r="A86" s="69">
        <v>21</v>
      </c>
      <c r="B86" s="68" t="s">
        <v>401</v>
      </c>
      <c r="C86" s="68" t="s">
        <v>402</v>
      </c>
      <c r="D86" s="73" t="s">
        <v>5</v>
      </c>
    </row>
    <row r="87" spans="1:4" ht="31.5">
      <c r="A87" s="69">
        <v>80</v>
      </c>
      <c r="B87" s="68" t="s">
        <v>488</v>
      </c>
      <c r="C87" s="68" t="s">
        <v>489</v>
      </c>
      <c r="D87" s="73" t="s">
        <v>5</v>
      </c>
    </row>
    <row r="88" spans="1:4" ht="31.5">
      <c r="A88" s="69">
        <v>88</v>
      </c>
      <c r="B88" s="68" t="s">
        <v>488</v>
      </c>
      <c r="C88" s="68" t="s">
        <v>489</v>
      </c>
      <c r="D88" s="73" t="s">
        <v>5</v>
      </c>
    </row>
    <row r="89" spans="1:4" ht="31.5">
      <c r="A89" s="69">
        <v>69</v>
      </c>
      <c r="B89" s="68" t="s">
        <v>471</v>
      </c>
      <c r="C89" s="68" t="s">
        <v>472</v>
      </c>
      <c r="D89" s="73" t="s">
        <v>5</v>
      </c>
    </row>
    <row r="90" spans="1:4" ht="47.25">
      <c r="A90" s="69">
        <v>85</v>
      </c>
      <c r="B90" s="68" t="s">
        <v>496</v>
      </c>
      <c r="C90" s="68" t="s">
        <v>497</v>
      </c>
      <c r="D90" s="73" t="s">
        <v>5</v>
      </c>
    </row>
  </sheetData>
  <sortState ref="D4:D91">
    <sortCondition ref="D3"/>
  </sortState>
  <mergeCells count="1">
    <mergeCell ref="A1:D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2:F15"/>
  <sheetViews>
    <sheetView workbookViewId="0">
      <selection sqref="A1:XFD1"/>
    </sheetView>
  </sheetViews>
  <sheetFormatPr defaultRowHeight="15"/>
  <cols>
    <col min="1" max="1" width="16" customWidth="1"/>
    <col min="2" max="2" width="12.28515625" customWidth="1"/>
    <col min="3" max="3" width="14" customWidth="1"/>
    <col min="4" max="4" width="14.42578125" customWidth="1"/>
    <col min="5" max="5" width="24.5703125" customWidth="1"/>
    <col min="6" max="6" width="20.140625" customWidth="1"/>
  </cols>
  <sheetData>
    <row r="2" spans="1:6" ht="30.75" customHeight="1">
      <c r="A2" s="154" t="s">
        <v>511</v>
      </c>
      <c r="B2" s="154"/>
      <c r="C2" s="154"/>
      <c r="D2" s="154"/>
      <c r="E2" s="154"/>
      <c r="F2" s="154"/>
    </row>
    <row r="3" spans="1:6">
      <c r="B3" s="77" t="s">
        <v>506</v>
      </c>
    </row>
    <row r="4" spans="1:6">
      <c r="A4" s="77" t="s">
        <v>504</v>
      </c>
      <c r="B4" s="53" t="s">
        <v>507</v>
      </c>
      <c r="C4" s="53" t="s">
        <v>508</v>
      </c>
      <c r="D4" s="53" t="s">
        <v>509</v>
      </c>
      <c r="E4" s="53" t="s">
        <v>510</v>
      </c>
    </row>
    <row r="5" spans="1:6">
      <c r="A5" s="78" t="s">
        <v>36</v>
      </c>
      <c r="B5" s="76">
        <v>87</v>
      </c>
      <c r="C5" s="76">
        <v>81</v>
      </c>
      <c r="D5" s="76">
        <v>86</v>
      </c>
      <c r="E5" s="76">
        <v>54</v>
      </c>
    </row>
    <row r="6" spans="1:6">
      <c r="A6" s="78" t="s">
        <v>33</v>
      </c>
      <c r="B6" s="76">
        <v>66</v>
      </c>
      <c r="C6" s="76">
        <v>52</v>
      </c>
      <c r="D6" s="76">
        <v>63</v>
      </c>
      <c r="E6" s="76">
        <v>55</v>
      </c>
    </row>
    <row r="7" spans="1:6">
      <c r="A7" s="78" t="s">
        <v>34</v>
      </c>
      <c r="B7" s="76">
        <v>36</v>
      </c>
      <c r="C7" s="76">
        <v>88</v>
      </c>
      <c r="D7" s="76">
        <v>83</v>
      </c>
      <c r="E7" s="76">
        <v>32</v>
      </c>
    </row>
    <row r="8" spans="1:6">
      <c r="A8" s="78" t="s">
        <v>32</v>
      </c>
      <c r="B8" s="76">
        <v>45</v>
      </c>
      <c r="C8" s="76">
        <v>83</v>
      </c>
      <c r="D8" s="76">
        <v>35</v>
      </c>
      <c r="E8" s="76">
        <v>63</v>
      </c>
    </row>
    <row r="9" spans="1:6">
      <c r="A9" s="78" t="s">
        <v>37</v>
      </c>
      <c r="B9" s="76">
        <v>69</v>
      </c>
      <c r="C9" s="76">
        <v>68</v>
      </c>
      <c r="D9" s="76">
        <v>35</v>
      </c>
      <c r="E9" s="76">
        <v>58</v>
      </c>
    </row>
    <row r="10" spans="1:6">
      <c r="A10" s="78" t="s">
        <v>40</v>
      </c>
      <c r="B10" s="76">
        <v>55</v>
      </c>
      <c r="C10" s="76">
        <v>39</v>
      </c>
      <c r="D10" s="76">
        <v>92</v>
      </c>
      <c r="E10" s="76">
        <v>42</v>
      </c>
    </row>
    <row r="11" spans="1:6">
      <c r="A11" s="78" t="s">
        <v>31</v>
      </c>
      <c r="B11" s="76">
        <v>33</v>
      </c>
      <c r="C11" s="76">
        <v>59</v>
      </c>
      <c r="D11" s="76">
        <v>88</v>
      </c>
      <c r="E11" s="76">
        <v>38</v>
      </c>
    </row>
    <row r="12" spans="1:6">
      <c r="A12" s="78" t="s">
        <v>35</v>
      </c>
      <c r="B12" s="76">
        <v>67</v>
      </c>
      <c r="C12" s="76">
        <v>54</v>
      </c>
      <c r="D12" s="76">
        <v>57</v>
      </c>
      <c r="E12" s="76">
        <v>53</v>
      </c>
    </row>
    <row r="13" spans="1:6">
      <c r="A13" s="78" t="s">
        <v>30</v>
      </c>
      <c r="B13" s="76">
        <v>44</v>
      </c>
      <c r="C13" s="76">
        <v>47</v>
      </c>
      <c r="D13" s="76">
        <v>56</v>
      </c>
      <c r="E13" s="76">
        <v>73</v>
      </c>
    </row>
    <row r="14" spans="1:6">
      <c r="A14" s="78" t="s">
        <v>44</v>
      </c>
      <c r="B14" s="76">
        <v>54</v>
      </c>
      <c r="C14" s="76">
        <v>64</v>
      </c>
      <c r="D14" s="76">
        <v>63</v>
      </c>
      <c r="E14" s="76">
        <v>66</v>
      </c>
    </row>
    <row r="15" spans="1:6">
      <c r="A15" s="78" t="s">
        <v>505</v>
      </c>
      <c r="B15" s="76">
        <v>556</v>
      </c>
      <c r="C15" s="76">
        <v>635</v>
      </c>
      <c r="D15" s="76">
        <v>658</v>
      </c>
      <c r="E15" s="76">
        <v>534</v>
      </c>
    </row>
  </sheetData>
  <mergeCells count="1">
    <mergeCell ref="A2:F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2:F20"/>
  <sheetViews>
    <sheetView workbookViewId="0">
      <selection sqref="A1:XFD1"/>
    </sheetView>
  </sheetViews>
  <sheetFormatPr defaultRowHeight="15"/>
  <cols>
    <col min="1" max="1" width="16" style="53" customWidth="1"/>
    <col min="2" max="2" width="12.28515625" style="53" customWidth="1"/>
    <col min="3" max="3" width="14" style="53" customWidth="1"/>
    <col min="4" max="4" width="14.42578125" style="53" customWidth="1"/>
    <col min="5" max="5" width="20.140625" style="53" customWidth="1"/>
    <col min="6" max="6" width="14.7109375" style="53" customWidth="1"/>
    <col min="7" max="16384" width="9.140625" style="53"/>
  </cols>
  <sheetData>
    <row r="2" spans="1:6" ht="30.75" customHeight="1">
      <c r="A2" s="154" t="s">
        <v>512</v>
      </c>
      <c r="B2" s="154"/>
      <c r="C2" s="154"/>
      <c r="D2" s="154"/>
      <c r="E2" s="154"/>
      <c r="F2" s="154"/>
    </row>
    <row r="3" spans="1:6">
      <c r="A3"/>
      <c r="B3" s="77" t="s">
        <v>506</v>
      </c>
      <c r="C3"/>
      <c r="D3"/>
      <c r="E3"/>
      <c r="F3"/>
    </row>
    <row r="4" spans="1:6">
      <c r="A4" s="77" t="s">
        <v>504</v>
      </c>
      <c r="B4" s="53" t="s">
        <v>507</v>
      </c>
      <c r="C4" s="53" t="s">
        <v>508</v>
      </c>
      <c r="D4" s="53" t="s">
        <v>509</v>
      </c>
      <c r="E4" s="53" t="s">
        <v>510</v>
      </c>
      <c r="F4"/>
    </row>
    <row r="5" spans="1:6">
      <c r="A5" s="78" t="s">
        <v>36</v>
      </c>
      <c r="B5" s="76">
        <v>87</v>
      </c>
      <c r="C5" s="76">
        <v>81</v>
      </c>
      <c r="D5" s="76">
        <v>86</v>
      </c>
      <c r="E5" s="76">
        <v>54</v>
      </c>
      <c r="F5"/>
    </row>
    <row r="6" spans="1:6">
      <c r="A6" s="78" t="s">
        <v>33</v>
      </c>
      <c r="B6" s="76">
        <v>66</v>
      </c>
      <c r="C6" s="76">
        <v>52</v>
      </c>
      <c r="D6" s="76">
        <v>63</v>
      </c>
      <c r="E6" s="76">
        <v>55</v>
      </c>
      <c r="F6"/>
    </row>
    <row r="7" spans="1:6">
      <c r="A7" s="78" t="s">
        <v>34</v>
      </c>
      <c r="B7" s="76">
        <v>36</v>
      </c>
      <c r="C7" s="76">
        <v>88</v>
      </c>
      <c r="D7" s="76">
        <v>83</v>
      </c>
      <c r="E7" s="76">
        <v>32</v>
      </c>
      <c r="F7"/>
    </row>
    <row r="8" spans="1:6">
      <c r="A8" s="78" t="s">
        <v>32</v>
      </c>
      <c r="B8" s="76">
        <v>45</v>
      </c>
      <c r="C8" s="76">
        <v>83</v>
      </c>
      <c r="D8" s="76">
        <v>35</v>
      </c>
      <c r="E8" s="76">
        <v>63</v>
      </c>
      <c r="F8"/>
    </row>
    <row r="9" spans="1:6">
      <c r="A9" s="78" t="s">
        <v>37</v>
      </c>
      <c r="B9" s="76">
        <v>69</v>
      </c>
      <c r="C9" s="76">
        <v>68</v>
      </c>
      <c r="D9" s="76">
        <v>35</v>
      </c>
      <c r="E9" s="76">
        <v>58</v>
      </c>
      <c r="F9"/>
    </row>
    <row r="10" spans="1:6">
      <c r="A10" s="78" t="s">
        <v>40</v>
      </c>
      <c r="B10" s="76">
        <v>55</v>
      </c>
      <c r="C10" s="76">
        <v>39</v>
      </c>
      <c r="D10" s="76">
        <v>92</v>
      </c>
      <c r="E10" s="76">
        <v>42</v>
      </c>
      <c r="F10"/>
    </row>
    <row r="11" spans="1:6">
      <c r="A11" s="78" t="s">
        <v>31</v>
      </c>
      <c r="B11" s="76">
        <v>33</v>
      </c>
      <c r="C11" s="76">
        <v>59</v>
      </c>
      <c r="D11" s="76">
        <v>88</v>
      </c>
      <c r="E11" s="76">
        <v>38</v>
      </c>
      <c r="F11"/>
    </row>
    <row r="12" spans="1:6">
      <c r="A12" s="78" t="s">
        <v>35</v>
      </c>
      <c r="B12" s="76">
        <v>67</v>
      </c>
      <c r="C12" s="76">
        <v>54</v>
      </c>
      <c r="D12" s="76">
        <v>57</v>
      </c>
      <c r="E12" s="76">
        <v>53</v>
      </c>
      <c r="F12"/>
    </row>
    <row r="13" spans="1:6">
      <c r="A13" s="78" t="s">
        <v>30</v>
      </c>
      <c r="B13" s="76">
        <v>44</v>
      </c>
      <c r="C13" s="76">
        <v>47</v>
      </c>
      <c r="D13" s="76">
        <v>56</v>
      </c>
      <c r="E13" s="76">
        <v>73</v>
      </c>
      <c r="F13"/>
    </row>
    <row r="14" spans="1:6">
      <c r="A14" s="78" t="s">
        <v>44</v>
      </c>
      <c r="B14" s="76">
        <v>54</v>
      </c>
      <c r="C14" s="76">
        <v>64</v>
      </c>
      <c r="D14" s="76">
        <v>63</v>
      </c>
      <c r="E14" s="76">
        <v>66</v>
      </c>
      <c r="F14"/>
    </row>
    <row r="15" spans="1:6">
      <c r="A15" s="78" t="s">
        <v>505</v>
      </c>
      <c r="B15" s="76">
        <v>556</v>
      </c>
      <c r="C15" s="76">
        <v>635</v>
      </c>
      <c r="D15" s="76">
        <v>658</v>
      </c>
      <c r="E15" s="76">
        <v>534</v>
      </c>
      <c r="F15"/>
    </row>
    <row r="16" spans="1:6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</sheetData>
  <mergeCells count="1">
    <mergeCell ref="A2:F2"/>
  </mergeCell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/>
  <dimension ref="A1:G10"/>
  <sheetViews>
    <sheetView workbookViewId="0">
      <selection sqref="A1:XFD1"/>
    </sheetView>
  </sheetViews>
  <sheetFormatPr defaultRowHeight="15"/>
  <cols>
    <col min="1" max="1" width="9.140625" style="53"/>
    <col min="2" max="2" width="22.7109375" style="53" customWidth="1"/>
    <col min="3" max="3" width="22.5703125" style="53" customWidth="1"/>
    <col min="4" max="5" width="9.140625" style="53"/>
    <col min="6" max="6" width="12.85546875" style="53" customWidth="1"/>
    <col min="7" max="7" width="16.7109375" style="53" customWidth="1"/>
    <col min="8" max="16384" width="9.140625" style="53"/>
  </cols>
  <sheetData>
    <row r="1" spans="1:7" ht="34.5" customHeight="1">
      <c r="A1" s="154" t="s">
        <v>526</v>
      </c>
      <c r="B1" s="154"/>
      <c r="C1" s="154"/>
      <c r="D1" s="154"/>
      <c r="E1" s="154"/>
      <c r="F1" s="154"/>
    </row>
    <row r="2" spans="1:7" ht="15.75">
      <c r="B2" s="79"/>
      <c r="C2" s="79"/>
      <c r="D2" s="79"/>
      <c r="E2" s="79"/>
      <c r="F2" s="79"/>
      <c r="G2" s="79"/>
    </row>
    <row r="3" spans="1:7" ht="15.75">
      <c r="B3" s="82" t="s">
        <v>529</v>
      </c>
      <c r="C3" s="80"/>
      <c r="D3" s="79"/>
      <c r="E3" s="79"/>
      <c r="F3" s="99" t="s">
        <v>530</v>
      </c>
      <c r="G3" s="81">
        <f>PMT(C5/12,C6,C4)</f>
        <v>-8440.5392512034723</v>
      </c>
    </row>
    <row r="4" spans="1:7" ht="15.75">
      <c r="B4" s="80" t="s">
        <v>527</v>
      </c>
      <c r="C4" s="96">
        <v>200000</v>
      </c>
      <c r="D4" s="79"/>
      <c r="E4" s="79"/>
      <c r="F4" s="96">
        <v>100000</v>
      </c>
      <c r="G4" s="80">
        <f t="dataTable" ref="G4:G9" dt2D="0" dtr="0" r1="C4"/>
        <v>-4220.2696256017362</v>
      </c>
    </row>
    <row r="5" spans="1:7" ht="15.75">
      <c r="B5" s="80" t="s">
        <v>528</v>
      </c>
      <c r="C5" s="94">
        <v>0.05</v>
      </c>
      <c r="D5" s="79"/>
      <c r="E5" s="79"/>
      <c r="F5" s="96">
        <f>F4+20000</f>
        <v>120000</v>
      </c>
      <c r="G5" s="80">
        <v>-5064.3235507220843</v>
      </c>
    </row>
    <row r="6" spans="1:7" ht="15.75">
      <c r="B6" s="80" t="s">
        <v>365</v>
      </c>
      <c r="C6" s="80">
        <v>25</v>
      </c>
      <c r="D6" s="79"/>
      <c r="E6" s="79"/>
      <c r="F6" s="96">
        <f>F5+20000</f>
        <v>140000</v>
      </c>
      <c r="G6" s="80">
        <v>-5908.3774758424315</v>
      </c>
    </row>
    <row r="7" spans="1:7" ht="15.75">
      <c r="B7" s="79"/>
      <c r="C7" s="79"/>
      <c r="D7" s="79"/>
      <c r="E7" s="79"/>
      <c r="F7" s="96">
        <f t="shared" ref="F7:F9" si="0">F6+20000</f>
        <v>160000</v>
      </c>
      <c r="G7" s="80">
        <v>-6752.4314009627788</v>
      </c>
    </row>
    <row r="8" spans="1:7" ht="15.75">
      <c r="B8" s="79"/>
      <c r="C8" s="79"/>
      <c r="D8" s="79"/>
      <c r="E8" s="79"/>
      <c r="F8" s="96">
        <f t="shared" si="0"/>
        <v>180000</v>
      </c>
      <c r="G8" s="80">
        <v>-7596.485326083126</v>
      </c>
    </row>
    <row r="9" spans="1:7" ht="15.75">
      <c r="B9" s="79"/>
      <c r="C9" s="79"/>
      <c r="D9" s="79"/>
      <c r="E9" s="79"/>
      <c r="F9" s="96">
        <f t="shared" si="0"/>
        <v>200000</v>
      </c>
      <c r="G9" s="80">
        <v>-8440.5392512034723</v>
      </c>
    </row>
    <row r="10" spans="1:7">
      <c r="F10" s="97"/>
    </row>
  </sheetData>
  <mergeCells count="1">
    <mergeCell ref="A1:F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9"/>
  <dimension ref="A1:M18"/>
  <sheetViews>
    <sheetView workbookViewId="0">
      <selection sqref="A1:XFD1"/>
    </sheetView>
  </sheetViews>
  <sheetFormatPr defaultRowHeight="15"/>
  <cols>
    <col min="1" max="1" width="9.140625" style="53"/>
    <col min="2" max="2" width="26.42578125" style="53" customWidth="1"/>
    <col min="3" max="3" width="22.5703125" style="53" customWidth="1"/>
    <col min="4" max="5" width="9.140625" style="53"/>
    <col min="6" max="6" width="10.5703125" style="53" bestFit="1" customWidth="1"/>
    <col min="7" max="16384" width="9.140625" style="53"/>
  </cols>
  <sheetData>
    <row r="1" spans="1:13" ht="34.5" customHeight="1">
      <c r="A1" s="154" t="s">
        <v>525</v>
      </c>
      <c r="B1" s="154"/>
      <c r="C1" s="154"/>
      <c r="D1" s="154"/>
      <c r="E1" s="154"/>
      <c r="F1" s="154"/>
    </row>
    <row r="5" spans="1:13" ht="15.75">
      <c r="B5" s="80" t="s">
        <v>521</v>
      </c>
      <c r="C5" s="120">
        <v>400000</v>
      </c>
      <c r="F5" s="98">
        <f>C8</f>
        <v>-1968.2103687050521</v>
      </c>
      <c r="G5" s="93">
        <v>100000</v>
      </c>
      <c r="H5" s="93">
        <v>150000</v>
      </c>
      <c r="I5" s="93">
        <v>200000</v>
      </c>
      <c r="J5" s="93">
        <v>250000</v>
      </c>
      <c r="K5" s="93">
        <v>300000</v>
      </c>
      <c r="L5" s="93">
        <v>350000</v>
      </c>
      <c r="M5" s="93">
        <v>400000</v>
      </c>
    </row>
    <row r="6" spans="1:13" ht="15.75">
      <c r="B6" s="80" t="s">
        <v>522</v>
      </c>
      <c r="C6" s="94">
        <v>0.04</v>
      </c>
      <c r="F6" s="93">
        <v>352</v>
      </c>
      <c r="G6" s="93">
        <f t="dataTable" ref="G6:M18" dt2D="1" dtr="1" r1="C5" r2="C7"/>
        <v>-483.048575943571</v>
      </c>
      <c r="H6" s="93">
        <v>-724.57286391535649</v>
      </c>
      <c r="I6" s="93">
        <v>-966.09715188714199</v>
      </c>
      <c r="J6" s="93">
        <v>-1207.6214398589275</v>
      </c>
      <c r="K6" s="93">
        <v>-1449.145727830713</v>
      </c>
      <c r="L6" s="93">
        <v>-1690.6700158024985</v>
      </c>
      <c r="M6" s="93">
        <v>-1932.194303774284</v>
      </c>
    </row>
    <row r="7" spans="1:13" ht="15.75">
      <c r="B7" s="80" t="s">
        <v>523</v>
      </c>
      <c r="C7" s="80">
        <v>340</v>
      </c>
      <c r="F7" s="93">
        <v>364</v>
      </c>
      <c r="G7" s="93">
        <v>-474.70210261145257</v>
      </c>
      <c r="H7" s="93">
        <v>-712.05315391717886</v>
      </c>
      <c r="I7" s="93">
        <v>-949.40420522290515</v>
      </c>
      <c r="J7" s="93">
        <v>-1186.7552565286314</v>
      </c>
      <c r="K7" s="93">
        <v>-1424.1063078343577</v>
      </c>
      <c r="L7" s="93">
        <v>-1661.4573591400842</v>
      </c>
      <c r="M7" s="93">
        <v>-1898.8084104458103</v>
      </c>
    </row>
    <row r="8" spans="1:13" ht="15.75">
      <c r="B8" s="80" t="s">
        <v>524</v>
      </c>
      <c r="C8" s="81">
        <f>PMT(C6/12,C7,C5)</f>
        <v>-1968.2103687050521</v>
      </c>
      <c r="F8" s="93">
        <v>376</v>
      </c>
      <c r="G8" s="93">
        <v>-466.94964565397299</v>
      </c>
      <c r="H8" s="93">
        <v>-700.42446848095938</v>
      </c>
      <c r="I8" s="93">
        <v>-933.89929130794599</v>
      </c>
      <c r="J8" s="93">
        <v>-1167.3741141349324</v>
      </c>
      <c r="K8" s="93">
        <v>-1400.8489369619188</v>
      </c>
      <c r="L8" s="93">
        <v>-1634.3237597889054</v>
      </c>
      <c r="M8" s="93">
        <v>-1867.798582615892</v>
      </c>
    </row>
    <row r="9" spans="1:13">
      <c r="F9" s="93">
        <v>388</v>
      </c>
      <c r="G9" s="93">
        <v>-459.73552531921962</v>
      </c>
      <c r="H9" s="93">
        <v>-689.60328797882937</v>
      </c>
      <c r="I9" s="93">
        <v>-919.47105063843924</v>
      </c>
      <c r="J9" s="93">
        <v>-1149.338813298049</v>
      </c>
      <c r="K9" s="93">
        <v>-1379.2065759576587</v>
      </c>
      <c r="L9" s="93">
        <v>-1609.0743386172685</v>
      </c>
      <c r="M9" s="93">
        <v>-1838.9421012768785</v>
      </c>
    </row>
    <row r="10" spans="1:13">
      <c r="F10" s="93">
        <v>400</v>
      </c>
      <c r="G10" s="93">
        <v>-453.0107321352462</v>
      </c>
      <c r="H10" s="93">
        <v>-679.51609820286933</v>
      </c>
      <c r="I10" s="93">
        <v>-906.0214642704924</v>
      </c>
      <c r="J10" s="93">
        <v>-1132.5268303381156</v>
      </c>
      <c r="K10" s="93">
        <v>-1359.0321964057387</v>
      </c>
      <c r="L10" s="93">
        <v>-1585.5375624733615</v>
      </c>
      <c r="M10" s="93">
        <v>-1812.0429285409848</v>
      </c>
    </row>
    <row r="11" spans="1:13" ht="15.75">
      <c r="B11" s="95"/>
      <c r="F11" s="93">
        <v>412</v>
      </c>
      <c r="G11" s="93">
        <v>-446.73195602112236</v>
      </c>
      <c r="H11" s="93">
        <v>-670.09793403168351</v>
      </c>
      <c r="I11" s="93">
        <v>-893.46391204224471</v>
      </c>
      <c r="J11" s="93">
        <v>-1116.8298900528059</v>
      </c>
      <c r="K11" s="93">
        <v>-1340.195868063367</v>
      </c>
      <c r="L11" s="93">
        <v>-1563.5618460739281</v>
      </c>
      <c r="M11" s="93">
        <v>-1786.9278240844894</v>
      </c>
    </row>
    <row r="12" spans="1:13" ht="15.75">
      <c r="B12" s="95"/>
      <c r="C12" s="97"/>
      <c r="F12" s="93">
        <v>424</v>
      </c>
      <c r="G12" s="93">
        <v>-440.86078026914845</v>
      </c>
      <c r="H12" s="93">
        <v>-661.29117040372262</v>
      </c>
      <c r="I12" s="93">
        <v>-881.7215605382969</v>
      </c>
      <c r="J12" s="93">
        <v>-1102.151950672871</v>
      </c>
      <c r="K12" s="93">
        <v>-1322.5823408074452</v>
      </c>
      <c r="L12" s="93">
        <v>-1543.0127309420193</v>
      </c>
      <c r="M12" s="93">
        <v>-1763.4431210765938</v>
      </c>
    </row>
    <row r="13" spans="1:13">
      <c r="F13" s="93">
        <v>436</v>
      </c>
      <c r="G13" s="93">
        <v>-435.36300863324425</v>
      </c>
      <c r="H13" s="93">
        <v>-653.04451294986643</v>
      </c>
      <c r="I13" s="93">
        <v>-870.7260172664885</v>
      </c>
      <c r="J13" s="93">
        <v>-1088.4075215831106</v>
      </c>
      <c r="K13" s="93">
        <v>-1306.0890258997329</v>
      </c>
      <c r="L13" s="93">
        <v>-1523.7705302163549</v>
      </c>
      <c r="M13" s="93">
        <v>-1741.452034532977</v>
      </c>
    </row>
    <row r="14" spans="1:13">
      <c r="F14" s="93">
        <v>448</v>
      </c>
      <c r="G14" s="93">
        <v>-430.20810056531928</v>
      </c>
      <c r="H14" s="93">
        <v>-645.31215084797896</v>
      </c>
      <c r="I14" s="93">
        <v>-860.41620113063857</v>
      </c>
      <c r="J14" s="93">
        <v>-1075.5202514132982</v>
      </c>
      <c r="K14" s="93">
        <v>-1290.6243016959579</v>
      </c>
      <c r="L14" s="93">
        <v>-1505.7283519786174</v>
      </c>
      <c r="M14" s="93">
        <v>-1720.8324022612771</v>
      </c>
    </row>
    <row r="15" spans="1:13">
      <c r="F15" s="93">
        <v>460</v>
      </c>
      <c r="G15" s="93">
        <v>-425.36869485010669</v>
      </c>
      <c r="H15" s="93">
        <v>-638.05304227516012</v>
      </c>
      <c r="I15" s="93">
        <v>-850.73738970021338</v>
      </c>
      <c r="J15" s="93">
        <v>-1063.4217371252669</v>
      </c>
      <c r="K15" s="93">
        <v>-1276.1060845503202</v>
      </c>
      <c r="L15" s="93">
        <v>-1488.7904319753734</v>
      </c>
      <c r="M15" s="93">
        <v>-1701.4747794004268</v>
      </c>
    </row>
    <row r="16" spans="1:13">
      <c r="F16" s="93">
        <v>472</v>
      </c>
      <c r="G16" s="93">
        <v>-420.82020590581419</v>
      </c>
      <c r="H16" s="93">
        <v>-631.23030885872129</v>
      </c>
      <c r="I16" s="93">
        <v>-841.64041181162838</v>
      </c>
      <c r="J16" s="93">
        <v>-1052.0505147645356</v>
      </c>
      <c r="K16" s="93">
        <v>-1262.4606177174426</v>
      </c>
      <c r="L16" s="93">
        <v>-1472.8707206703496</v>
      </c>
      <c r="M16" s="93">
        <v>-1683.2808236232568</v>
      </c>
    </row>
    <row r="17" spans="6:13">
      <c r="F17" s="93">
        <v>484</v>
      </c>
      <c r="G17" s="93">
        <v>-416.54048013848245</v>
      </c>
      <c r="H17" s="93">
        <v>-624.81072020772365</v>
      </c>
      <c r="I17" s="93">
        <v>-833.0809602769649</v>
      </c>
      <c r="J17" s="93">
        <v>-1041.351200346206</v>
      </c>
      <c r="K17" s="93">
        <v>-1249.6214404154473</v>
      </c>
      <c r="L17" s="93">
        <v>-1457.8916804846883</v>
      </c>
      <c r="M17" s="93">
        <v>-1666.1619205539298</v>
      </c>
    </row>
    <row r="18" spans="6:13">
      <c r="F18" s="93">
        <v>496</v>
      </c>
      <c r="G18" s="93">
        <v>-412.50950217901226</v>
      </c>
      <c r="H18" s="93">
        <v>-618.76425326851847</v>
      </c>
      <c r="I18" s="93">
        <v>-825.01900435802452</v>
      </c>
      <c r="J18" s="93">
        <v>-1031.2737554475307</v>
      </c>
      <c r="K18" s="93">
        <v>-1237.5285065370369</v>
      </c>
      <c r="L18" s="93">
        <v>-1443.7832576265428</v>
      </c>
      <c r="M18" s="93">
        <v>-1650.038008716049</v>
      </c>
    </row>
  </sheetData>
  <mergeCells count="1">
    <mergeCell ref="A1:F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0"/>
  <dimension ref="A1:F11"/>
  <sheetViews>
    <sheetView workbookViewId="0">
      <selection sqref="A1:XFD1"/>
    </sheetView>
  </sheetViews>
  <sheetFormatPr defaultRowHeight="15"/>
  <cols>
    <col min="2" max="2" width="22.7109375" customWidth="1"/>
    <col min="3" max="3" width="22.5703125" customWidth="1"/>
  </cols>
  <sheetData>
    <row r="1" spans="1:6" ht="34.5" customHeight="1">
      <c r="A1" s="154" t="s">
        <v>513</v>
      </c>
      <c r="B1" s="154"/>
      <c r="C1" s="154"/>
      <c r="D1" s="154"/>
      <c r="E1" s="154"/>
      <c r="F1" s="154"/>
    </row>
    <row r="3" spans="1:6" ht="15.75" thickBot="1"/>
    <row r="4" spans="1:6" ht="16.5">
      <c r="B4" s="155" t="s">
        <v>514</v>
      </c>
      <c r="C4" s="156"/>
    </row>
    <row r="5" spans="1:6" ht="15.75">
      <c r="B5" s="83" t="s">
        <v>129</v>
      </c>
      <c r="C5" s="84">
        <v>32</v>
      </c>
    </row>
    <row r="6" spans="1:6" ht="15.75">
      <c r="B6" s="83" t="s">
        <v>515</v>
      </c>
      <c r="C6" s="92">
        <v>100</v>
      </c>
    </row>
    <row r="7" spans="1:6" ht="16.5">
      <c r="B7" s="86" t="s">
        <v>516</v>
      </c>
      <c r="C7" s="89">
        <f>C5*C6</f>
        <v>3200</v>
      </c>
    </row>
    <row r="8" spans="1:6" ht="15.75">
      <c r="B8" s="83" t="s">
        <v>517</v>
      </c>
      <c r="C8" s="84">
        <f>C7*10%</f>
        <v>320</v>
      </c>
    </row>
    <row r="9" spans="1:6" ht="15.75">
      <c r="B9" s="83" t="s">
        <v>518</v>
      </c>
      <c r="C9" s="85">
        <f>20*C6</f>
        <v>2000</v>
      </c>
    </row>
    <row r="10" spans="1:6" ht="15.75">
      <c r="B10" s="87" t="s">
        <v>519</v>
      </c>
      <c r="C10" s="90">
        <f>C8+C9</f>
        <v>2320</v>
      </c>
    </row>
    <row r="11" spans="1:6" ht="17.25" thickBot="1">
      <c r="B11" s="88" t="s">
        <v>520</v>
      </c>
      <c r="C11" s="91">
        <f>C7-C10</f>
        <v>880</v>
      </c>
    </row>
  </sheetData>
  <scenarios current="0" show="0">
    <scenario name="200 Qty" locked="1" count="1" user="User" comment="Created by User on 11/13/2024">
      <inputCells r="C6" val="200"/>
    </scenario>
    <scenario name="300 Qty" locked="1" count="1" user="User" comment="Created by User on 11/13/2024">
      <inputCells r="C6" val="300"/>
    </scenario>
    <scenario name="400 Qty" locked="1" count="1" user="User" comment="Created by User on 11/13/2024">
      <inputCells r="C6" val="400"/>
    </scenario>
    <scenario name="500 Qty" locked="1" count="1" user="User" comment="Created by User on 11/13/2024">
      <inputCells r="C6" val="500"/>
    </scenario>
  </scenarios>
  <mergeCells count="2">
    <mergeCell ref="A1:F1"/>
    <mergeCell ref="B4:C4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dimension ref="A1:J49"/>
  <sheetViews>
    <sheetView workbookViewId="0">
      <selection sqref="A1:XFD1"/>
    </sheetView>
  </sheetViews>
  <sheetFormatPr defaultRowHeight="15"/>
  <cols>
    <col min="1" max="1" width="19.85546875" customWidth="1"/>
    <col min="4" max="4" width="23.7109375" customWidth="1"/>
  </cols>
  <sheetData>
    <row r="1" spans="1:10" ht="16.5" thickBot="1">
      <c r="A1" s="161" t="s">
        <v>541</v>
      </c>
      <c r="B1" s="162"/>
      <c r="C1" s="162"/>
      <c r="D1" s="162"/>
      <c r="E1" s="162"/>
      <c r="F1" s="162"/>
      <c r="G1" s="162"/>
      <c r="H1" s="163"/>
      <c r="I1" s="117"/>
      <c r="J1" s="117"/>
    </row>
    <row r="2" spans="1:10" ht="19.5" thickBot="1">
      <c r="C2" s="157" t="s">
        <v>542</v>
      </c>
      <c r="D2" s="158"/>
      <c r="E2" s="159"/>
      <c r="F2" s="160"/>
    </row>
    <row r="3" spans="1:10" s="53" customFormat="1" ht="18.75">
      <c r="C3" s="118"/>
      <c r="D3" s="119" t="s">
        <v>545</v>
      </c>
      <c r="E3" s="118"/>
      <c r="F3" s="118"/>
    </row>
    <row r="5" spans="1:10">
      <c r="A5" s="53"/>
    </row>
    <row r="25" spans="4:7" ht="15.75" thickBot="1"/>
    <row r="26" spans="4:7" ht="19.5" thickBot="1">
      <c r="D26" s="157" t="s">
        <v>543</v>
      </c>
      <c r="E26" s="159"/>
      <c r="F26" s="159"/>
      <c r="G26" s="160"/>
    </row>
    <row r="48" ht="15.75" thickBot="1"/>
    <row r="49" spans="4:7" ht="19.5" thickBot="1">
      <c r="D49" s="157" t="s">
        <v>544</v>
      </c>
      <c r="E49" s="159"/>
      <c r="F49" s="159"/>
      <c r="G49" s="160"/>
    </row>
  </sheetData>
  <mergeCells count="4">
    <mergeCell ref="C2:F2"/>
    <mergeCell ref="A1:H1"/>
    <mergeCell ref="D26:G26"/>
    <mergeCell ref="D49:G4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Que. 1</vt:lpstr>
      <vt:lpstr>Que. 2</vt:lpstr>
      <vt:lpstr>Que. 3</vt:lpstr>
      <vt:lpstr>Que. 4</vt:lpstr>
      <vt:lpstr>Que. 5</vt:lpstr>
      <vt:lpstr>Que. 6</vt:lpstr>
      <vt:lpstr>Que. 7</vt:lpstr>
      <vt:lpstr>Que. 8</vt:lpstr>
      <vt:lpstr>Que. 9</vt:lpstr>
      <vt:lpstr>Que. 10</vt:lpstr>
      <vt:lpstr>Que. 11</vt:lpstr>
      <vt:lpstr>Que. 12</vt:lpstr>
      <vt:lpstr>Que. 13</vt:lpstr>
      <vt:lpstr>Que. 14</vt:lpstr>
      <vt:lpstr>Que. 15</vt:lpstr>
      <vt:lpstr>Que. 16</vt:lpstr>
      <vt:lpstr>Que. 17</vt:lpstr>
      <vt:lpstr>Que. 18</vt:lpstr>
      <vt:lpstr>Que. 19</vt:lpstr>
      <vt:lpstr>Que. 20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2024-11-12T16:25:21Z</dcterms:created>
  <dcterms:modified xsi:type="dcterms:W3CDTF">2024-11-17T09:06:03Z</dcterms:modified>
</cp:coreProperties>
</file>